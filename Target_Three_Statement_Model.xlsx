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311b9ddf719b00/Desktop/Target Financial Mode/"/>
    </mc:Choice>
  </mc:AlternateContent>
  <xr:revisionPtr revIDLastSave="276" documentId="8_{5D0B9A49-7308-4693-961F-F3E40324897F}" xr6:coauthVersionLast="47" xr6:coauthVersionMax="47" xr10:uidLastSave="{9CD23138-E355-4C4F-B78A-B32184C79538}"/>
  <bookViews>
    <workbookView xWindow="-120" yWindow="-120" windowWidth="29040" windowHeight="15720" tabRatio="728" xr2:uid="{5F86E1BA-BB91-47F6-A674-C6175A4865BC}"/>
  </bookViews>
  <sheets>
    <sheet name="Summary" sheetId="1" r:id="rId1"/>
    <sheet name="Assumptions" sheetId="2" r:id="rId2"/>
    <sheet name="Three Statements" sheetId="3" r:id="rId3"/>
    <sheet name="Schedules" sheetId="4" r:id="rId4"/>
    <sheet name="Historical" sheetId="5" r:id="rId5"/>
    <sheet name="Check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D21" i="1"/>
  <c r="E21" i="1"/>
  <c r="B10" i="1"/>
  <c r="C8" i="1"/>
  <c r="D8" i="1"/>
  <c r="E8" i="1"/>
  <c r="B18" i="1" s="1"/>
  <c r="B9" i="1"/>
  <c r="B11" i="1"/>
  <c r="B13" i="1"/>
  <c r="B14" i="1"/>
  <c r="B8" i="1"/>
  <c r="C6" i="1"/>
  <c r="D6" i="1"/>
  <c r="E6" i="1"/>
  <c r="B17" i="1" s="1"/>
  <c r="C7" i="1"/>
  <c r="D7" i="1"/>
  <c r="E7" i="1"/>
  <c r="C9" i="1"/>
  <c r="D9" i="1"/>
  <c r="E9" i="1"/>
  <c r="C10" i="1"/>
  <c r="D10" i="1"/>
  <c r="E10" i="1"/>
  <c r="C11" i="1"/>
  <c r="D11" i="1"/>
  <c r="E11" i="1"/>
  <c r="C13" i="1"/>
  <c r="D13" i="1"/>
  <c r="E13" i="1"/>
  <c r="C14" i="1"/>
  <c r="D14" i="1"/>
  <c r="E14" i="1"/>
  <c r="B7" i="1"/>
  <c r="B6" i="1"/>
  <c r="C4" i="1"/>
  <c r="D4" i="1"/>
  <c r="E4" i="1"/>
  <c r="F4" i="1"/>
  <c r="F21" i="1" s="1"/>
  <c r="G4" i="1"/>
  <c r="G21" i="1" s="1"/>
  <c r="B4" i="1"/>
  <c r="B21" i="1" s="1"/>
  <c r="C6" i="6"/>
  <c r="D6" i="6"/>
  <c r="E6" i="6"/>
  <c r="C7" i="6"/>
  <c r="D7" i="6"/>
  <c r="E7" i="6"/>
  <c r="C8" i="6"/>
  <c r="D8" i="6"/>
  <c r="E8" i="6"/>
  <c r="B6" i="6"/>
  <c r="B7" i="6"/>
  <c r="B8" i="6"/>
  <c r="C5" i="6"/>
  <c r="D5" i="6"/>
  <c r="E5" i="6"/>
  <c r="F5" i="6"/>
  <c r="G5" i="6"/>
  <c r="B5" i="6"/>
  <c r="E47" i="3"/>
  <c r="E46" i="3"/>
  <c r="E45" i="3"/>
  <c r="F45" i="3"/>
  <c r="G45" i="3"/>
  <c r="E44" i="3"/>
  <c r="F43" i="3"/>
  <c r="G43" i="3" s="1"/>
  <c r="E43" i="3"/>
  <c r="F42" i="3"/>
  <c r="G42" i="3" s="1"/>
  <c r="E42" i="3"/>
  <c r="E28" i="3"/>
  <c r="E24" i="3"/>
  <c r="E21" i="3"/>
  <c r="E78" i="3"/>
  <c r="F77" i="3"/>
  <c r="E77" i="3"/>
  <c r="E76" i="3"/>
  <c r="F74" i="3"/>
  <c r="G74" i="3"/>
  <c r="E74" i="3"/>
  <c r="E73" i="3"/>
  <c r="F73" i="3"/>
  <c r="G73" i="3"/>
  <c r="F72" i="3"/>
  <c r="G72" i="3"/>
  <c r="E72" i="3"/>
  <c r="F71" i="3"/>
  <c r="G71" i="3"/>
  <c r="E71" i="3"/>
  <c r="F69" i="3"/>
  <c r="G69" i="3"/>
  <c r="F70" i="3"/>
  <c r="G70" i="3"/>
  <c r="E70" i="3"/>
  <c r="E69" i="3"/>
  <c r="E66" i="3"/>
  <c r="E65" i="3"/>
  <c r="F65" i="3"/>
  <c r="G65" i="3"/>
  <c r="E61" i="3"/>
  <c r="F56" i="3"/>
  <c r="G56" i="3"/>
  <c r="E56" i="3"/>
  <c r="F55" i="3"/>
  <c r="G55" i="3"/>
  <c r="F54" i="3"/>
  <c r="G54" i="3" s="1"/>
  <c r="E55" i="3"/>
  <c r="E54" i="3"/>
  <c r="E60" i="3"/>
  <c r="E58" i="3"/>
  <c r="E59" i="3"/>
  <c r="E57" i="3"/>
  <c r="E25" i="3"/>
  <c r="E53" i="3"/>
  <c r="E52" i="3"/>
  <c r="F18" i="4"/>
  <c r="G18" i="4"/>
  <c r="E18" i="4"/>
  <c r="F35" i="3"/>
  <c r="G35" i="3" s="1"/>
  <c r="G39" i="3" s="1"/>
  <c r="E34" i="3"/>
  <c r="E35" i="3"/>
  <c r="E39" i="3" s="1"/>
  <c r="E36" i="3"/>
  <c r="E37" i="3"/>
  <c r="E38" i="3"/>
  <c r="F36" i="3"/>
  <c r="G36" i="3" s="1"/>
  <c r="G33" i="3"/>
  <c r="F33" i="3"/>
  <c r="E33" i="3"/>
  <c r="F26" i="3"/>
  <c r="G26" i="3" s="1"/>
  <c r="F27" i="3"/>
  <c r="G27" i="3" s="1"/>
  <c r="E27" i="3"/>
  <c r="E26" i="3"/>
  <c r="E64" i="3"/>
  <c r="F19" i="4"/>
  <c r="G19" i="4"/>
  <c r="E19" i="4"/>
  <c r="E17" i="4"/>
  <c r="E32" i="3"/>
  <c r="E31" i="3"/>
  <c r="E23" i="3"/>
  <c r="E22" i="3"/>
  <c r="F17" i="4"/>
  <c r="G17" i="4"/>
  <c r="F16" i="4"/>
  <c r="G16" i="4"/>
  <c r="E16" i="4"/>
  <c r="E15" i="4"/>
  <c r="F15" i="4"/>
  <c r="G15" i="4"/>
  <c r="F14" i="4"/>
  <c r="G14" i="4"/>
  <c r="E14" i="4"/>
  <c r="F13" i="3"/>
  <c r="G13" i="3"/>
  <c r="E16" i="3"/>
  <c r="E15" i="3"/>
  <c r="E14" i="3"/>
  <c r="E13" i="3"/>
  <c r="E12" i="3"/>
  <c r="F11" i="4"/>
  <c r="G11" i="4"/>
  <c r="E11" i="4"/>
  <c r="C12" i="4"/>
  <c r="D12" i="4"/>
  <c r="B12" i="4"/>
  <c r="B11" i="4"/>
  <c r="F10" i="4"/>
  <c r="G10" i="4"/>
  <c r="E10" i="4"/>
  <c r="E11" i="3"/>
  <c r="E10" i="3"/>
  <c r="E9" i="3"/>
  <c r="E8" i="3"/>
  <c r="F8" i="4"/>
  <c r="G8" i="4"/>
  <c r="F9" i="4"/>
  <c r="G9" i="4"/>
  <c r="F12" i="4"/>
  <c r="G12" i="4"/>
  <c r="E12" i="4"/>
  <c r="E9" i="4"/>
  <c r="E8" i="4"/>
  <c r="E7" i="3"/>
  <c r="E4" i="3"/>
  <c r="F4" i="3"/>
  <c r="G4" i="3"/>
  <c r="E6" i="4"/>
  <c r="E7" i="4"/>
  <c r="F7" i="4"/>
  <c r="F6" i="4" s="1"/>
  <c r="G7" i="4"/>
  <c r="F4" i="4"/>
  <c r="G4" i="4"/>
  <c r="E4" i="4"/>
  <c r="C14" i="4"/>
  <c r="D14" i="4"/>
  <c r="C15" i="4"/>
  <c r="D15" i="4"/>
  <c r="C16" i="4"/>
  <c r="D16" i="4"/>
  <c r="C17" i="4"/>
  <c r="D17" i="4"/>
  <c r="C18" i="4"/>
  <c r="D18" i="4"/>
  <c r="C19" i="4"/>
  <c r="D19" i="4"/>
  <c r="B14" i="4"/>
  <c r="B15" i="4"/>
  <c r="B16" i="4"/>
  <c r="B17" i="4"/>
  <c r="B18" i="4"/>
  <c r="B19" i="4"/>
  <c r="D7" i="4"/>
  <c r="C7" i="4"/>
  <c r="C8" i="4"/>
  <c r="D8" i="4"/>
  <c r="C9" i="4"/>
  <c r="D9" i="4"/>
  <c r="C10" i="4"/>
  <c r="D10" i="4"/>
  <c r="C11" i="4"/>
  <c r="D11" i="4"/>
  <c r="B10" i="4"/>
  <c r="B9" i="4"/>
  <c r="B8" i="4"/>
  <c r="C6" i="4"/>
  <c r="D6" i="4"/>
  <c r="B6" i="4"/>
  <c r="C4" i="4"/>
  <c r="D4" i="4"/>
  <c r="B4" i="4"/>
  <c r="D78" i="3"/>
  <c r="D77" i="3"/>
  <c r="D76" i="3"/>
  <c r="C78" i="3"/>
  <c r="C77" i="3"/>
  <c r="C76" i="3"/>
  <c r="B78" i="3"/>
  <c r="B77" i="3"/>
  <c r="B76" i="3"/>
  <c r="C74" i="3"/>
  <c r="D74" i="3"/>
  <c r="B74" i="3"/>
  <c r="C69" i="3"/>
  <c r="D69" i="3"/>
  <c r="C70" i="3"/>
  <c r="D70" i="3"/>
  <c r="C71" i="3"/>
  <c r="D71" i="3"/>
  <c r="C72" i="3"/>
  <c r="D72" i="3"/>
  <c r="C73" i="3"/>
  <c r="D73" i="3"/>
  <c r="B70" i="3"/>
  <c r="B71" i="3"/>
  <c r="B72" i="3"/>
  <c r="B73" i="3"/>
  <c r="B69" i="3"/>
  <c r="C66" i="3"/>
  <c r="D66" i="3"/>
  <c r="B66" i="3"/>
  <c r="C64" i="3"/>
  <c r="D64" i="3"/>
  <c r="C65" i="3"/>
  <c r="D65" i="3"/>
  <c r="B65" i="3"/>
  <c r="B64" i="3"/>
  <c r="D61" i="3"/>
  <c r="C53" i="3"/>
  <c r="C61" i="3" s="1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52" i="3"/>
  <c r="D52" i="3"/>
  <c r="B61" i="3"/>
  <c r="B54" i="3"/>
  <c r="B55" i="3"/>
  <c r="B56" i="3"/>
  <c r="B57" i="3"/>
  <c r="B58" i="3"/>
  <c r="B59" i="3"/>
  <c r="B60" i="3"/>
  <c r="B53" i="3"/>
  <c r="B52" i="3"/>
  <c r="C47" i="3"/>
  <c r="B47" i="3"/>
  <c r="C46" i="3"/>
  <c r="D46" i="3"/>
  <c r="B46" i="3"/>
  <c r="C42" i="3"/>
  <c r="D42" i="3"/>
  <c r="C43" i="3"/>
  <c r="D43" i="3"/>
  <c r="C44" i="3"/>
  <c r="D44" i="3"/>
  <c r="C45" i="3"/>
  <c r="D45" i="3"/>
  <c r="B43" i="3"/>
  <c r="B44" i="3"/>
  <c r="B45" i="3"/>
  <c r="B42" i="3"/>
  <c r="C39" i="3"/>
  <c r="B39" i="3"/>
  <c r="C34" i="3"/>
  <c r="D34" i="3"/>
  <c r="B34" i="3"/>
  <c r="C28" i="3"/>
  <c r="D28" i="3"/>
  <c r="B28" i="3"/>
  <c r="B24" i="3"/>
  <c r="C24" i="3"/>
  <c r="D24" i="3"/>
  <c r="C31" i="3"/>
  <c r="D31" i="3"/>
  <c r="C32" i="3"/>
  <c r="D32" i="3"/>
  <c r="C33" i="3"/>
  <c r="D33" i="3"/>
  <c r="C35" i="3"/>
  <c r="D35" i="3"/>
  <c r="D39" i="3" s="1"/>
  <c r="D47" i="3" s="1"/>
  <c r="C36" i="3"/>
  <c r="D36" i="3"/>
  <c r="C37" i="3"/>
  <c r="D37" i="3"/>
  <c r="C38" i="3"/>
  <c r="D38" i="3"/>
  <c r="B32" i="3"/>
  <c r="B33" i="3"/>
  <c r="B35" i="3"/>
  <c r="B36" i="3"/>
  <c r="B37" i="3"/>
  <c r="B38" i="3"/>
  <c r="B31" i="3"/>
  <c r="C21" i="3"/>
  <c r="D21" i="3"/>
  <c r="C22" i="3"/>
  <c r="D22" i="3"/>
  <c r="C23" i="3"/>
  <c r="D23" i="3"/>
  <c r="C25" i="3"/>
  <c r="D25" i="3"/>
  <c r="C26" i="3"/>
  <c r="D26" i="3"/>
  <c r="C27" i="3"/>
  <c r="D27" i="3"/>
  <c r="B22" i="3"/>
  <c r="B23" i="3"/>
  <c r="B25" i="3"/>
  <c r="B26" i="3"/>
  <c r="B27" i="3"/>
  <c r="B21" i="3"/>
  <c r="C14" i="3"/>
  <c r="C16" i="3" s="1"/>
  <c r="D14" i="3"/>
  <c r="D16" i="3" s="1"/>
  <c r="C11" i="3"/>
  <c r="D11" i="3"/>
  <c r="B16" i="3"/>
  <c r="B14" i="3"/>
  <c r="B11" i="3"/>
  <c r="C7" i="3"/>
  <c r="D7" i="3"/>
  <c r="C8" i="3"/>
  <c r="D8" i="3"/>
  <c r="C9" i="3"/>
  <c r="D9" i="3"/>
  <c r="C10" i="3"/>
  <c r="D10" i="3"/>
  <c r="C12" i="3"/>
  <c r="D12" i="3"/>
  <c r="C13" i="3"/>
  <c r="D13" i="3"/>
  <c r="C15" i="3"/>
  <c r="D15" i="3"/>
  <c r="B8" i="3"/>
  <c r="B9" i="3"/>
  <c r="B10" i="3"/>
  <c r="B12" i="3"/>
  <c r="B13" i="3"/>
  <c r="B15" i="3"/>
  <c r="B7" i="3"/>
  <c r="C4" i="3"/>
  <c r="D4" i="3"/>
  <c r="B4" i="3"/>
  <c r="B61" i="5"/>
  <c r="C61" i="5"/>
  <c r="D61" i="5"/>
  <c r="B12" i="1" l="1"/>
  <c r="B22" i="1" s="1"/>
  <c r="E12" i="1"/>
  <c r="D12" i="1"/>
  <c r="D22" i="1" s="1"/>
  <c r="C12" i="1"/>
  <c r="C22" i="1" s="1"/>
  <c r="F7" i="3"/>
  <c r="G6" i="4"/>
  <c r="G7" i="3" s="1"/>
  <c r="G10" i="3"/>
  <c r="G12" i="3"/>
  <c r="G6" i="1"/>
  <c r="G32" i="3"/>
  <c r="G9" i="3"/>
  <c r="G53" i="3"/>
  <c r="G23" i="3"/>
  <c r="G64" i="3"/>
  <c r="G8" i="3"/>
  <c r="F12" i="3"/>
  <c r="F32" i="3"/>
  <c r="F60" i="3" s="1"/>
  <c r="F6" i="1"/>
  <c r="F10" i="3"/>
  <c r="F53" i="3"/>
  <c r="F23" i="3"/>
  <c r="F64" i="3"/>
  <c r="F8" i="3"/>
  <c r="F11" i="3" s="1"/>
  <c r="F7" i="1" s="1"/>
  <c r="F9" i="3"/>
  <c r="F39" i="3"/>
  <c r="F37" i="3"/>
  <c r="G37" i="3" s="1"/>
  <c r="F8" i="1" l="1"/>
  <c r="B19" i="1"/>
  <c r="E22" i="1"/>
  <c r="F25" i="3"/>
  <c r="G25" i="3" s="1"/>
  <c r="F11" i="1"/>
  <c r="F66" i="3"/>
  <c r="F14" i="3"/>
  <c r="G11" i="3"/>
  <c r="G7" i="1" s="1"/>
  <c r="G8" i="1" s="1"/>
  <c r="G31" i="3"/>
  <c r="G22" i="3"/>
  <c r="G66" i="3"/>
  <c r="G11" i="1"/>
  <c r="F31" i="3"/>
  <c r="F22" i="3"/>
  <c r="F58" i="3"/>
  <c r="G58" i="3"/>
  <c r="G60" i="3"/>
  <c r="F38" i="3"/>
  <c r="G38" i="3" s="1"/>
  <c r="F34" i="3" l="1"/>
  <c r="F59" i="3"/>
  <c r="F57" i="3"/>
  <c r="G57" i="3"/>
  <c r="G34" i="3"/>
  <c r="G59" i="3"/>
  <c r="F15" i="3"/>
  <c r="F16" i="3" s="1"/>
  <c r="G14" i="3"/>
  <c r="G15" i="3" s="1"/>
  <c r="G16" i="3" s="1"/>
  <c r="F9" i="1" l="1"/>
  <c r="F44" i="3"/>
  <c r="F52" i="3"/>
  <c r="F61" i="3" s="1"/>
  <c r="G9" i="1"/>
  <c r="G52" i="3"/>
  <c r="G61" i="3" s="1"/>
  <c r="G76" i="3" l="1"/>
  <c r="G10" i="1"/>
  <c r="G12" i="1" s="1"/>
  <c r="G22" i="1" s="1"/>
  <c r="F76" i="3"/>
  <c r="F10" i="1"/>
  <c r="F12" i="1" s="1"/>
  <c r="F22" i="1" s="1"/>
  <c r="F46" i="3"/>
  <c r="F47" i="3" s="1"/>
  <c r="G44" i="3"/>
  <c r="G46" i="3" s="1"/>
  <c r="G47" i="3" s="1"/>
  <c r="F78" i="3" l="1"/>
  <c r="F8" i="6"/>
  <c r="F13" i="1" l="1"/>
  <c r="F21" i="3"/>
  <c r="G77" i="3"/>
  <c r="G78" i="3" l="1"/>
  <c r="G8" i="6"/>
  <c r="F24" i="3"/>
  <c r="F28" i="3" s="1"/>
  <c r="F6" i="6" s="1"/>
  <c r="F14" i="1" s="1"/>
  <c r="F7" i="6"/>
  <c r="G13" i="1" l="1"/>
  <c r="G21" i="3"/>
  <c r="G24" i="3" l="1"/>
  <c r="G28" i="3" s="1"/>
  <c r="G6" i="6" s="1"/>
  <c r="G14" i="1" s="1"/>
  <c r="G7" i="6"/>
</calcChain>
</file>

<file path=xl/sharedStrings.xml><?xml version="1.0" encoding="utf-8"?>
<sst xmlns="http://schemas.openxmlformats.org/spreadsheetml/2006/main" count="201" uniqueCount="121">
  <si>
    <t>Target Corporation — Historical Financial Data</t>
  </si>
  <si>
    <t>USD millions, except per-share data</t>
  </si>
  <si>
    <t>Fiscal year</t>
  </si>
  <si>
    <t>FY2023</t>
  </si>
  <si>
    <t>FY2024</t>
  </si>
  <si>
    <t>FY2025</t>
  </si>
  <si>
    <t>INCOME STATEMENT</t>
  </si>
  <si>
    <t>Net sales</t>
  </si>
  <si>
    <t>Cost of sales</t>
  </si>
  <si>
    <t>Selling, general and administrative expenses</t>
  </si>
  <si>
    <t>Depreciation and amortization — income statement</t>
  </si>
  <si>
    <t>Operating income</t>
  </si>
  <si>
    <t>Net interest expense</t>
  </si>
  <si>
    <t>Net other income</t>
  </si>
  <si>
    <t>Earnings before income taxes</t>
  </si>
  <si>
    <t>Provision for income taxes</t>
  </si>
  <si>
    <t>Net earnings</t>
  </si>
  <si>
    <t>BALANCE SHEET</t>
  </si>
  <si>
    <t>ASSETS</t>
  </si>
  <si>
    <t>Cash and cash equivalents</t>
  </si>
  <si>
    <t>Inventory</t>
  </si>
  <si>
    <t>Other current assets</t>
  </si>
  <si>
    <t>Total current assets</t>
  </si>
  <si>
    <t>Property and equipment, net</t>
  </si>
  <si>
    <t>Operating lease assets</t>
  </si>
  <si>
    <t>Other noncurrent assets</t>
  </si>
  <si>
    <t>Total assets</t>
  </si>
  <si>
    <t>LIABILITIES</t>
  </si>
  <si>
    <t>Accounts payable</t>
  </si>
  <si>
    <t>Accrued and other current liabilities</t>
  </si>
  <si>
    <t>Current portion of long-term debt and other borrowings</t>
  </si>
  <si>
    <t>Total current liabilities</t>
  </si>
  <si>
    <t>Long-term debt and other borrowings</t>
  </si>
  <si>
    <t>Noncurrent operating lease liabilities</t>
  </si>
  <si>
    <t>Deferred income taxes</t>
  </si>
  <si>
    <t>Other noncurrent liabilities</t>
  </si>
  <si>
    <t>Total noncurrent liabilities</t>
  </si>
  <si>
    <t>SHAREHOLDERS' EQUITY</t>
  </si>
  <si>
    <t>Common stock</t>
  </si>
  <si>
    <t>Additional paid-in capital</t>
  </si>
  <si>
    <t>Retained earnings</t>
  </si>
  <si>
    <t>Accumulated other comprehensive loss</t>
  </si>
  <si>
    <t>Total shareholders' equity</t>
  </si>
  <si>
    <t>Total liabilities and shareholders' equity</t>
  </si>
  <si>
    <t>CASH FLOW STATEMENT</t>
  </si>
  <si>
    <t>Operating activities</t>
  </si>
  <si>
    <t>Depreciation and amortization — cash flow statement</t>
  </si>
  <si>
    <t>Share-based compensation expense</t>
  </si>
  <si>
    <t>Noncash (gains) / losses and other, net</t>
  </si>
  <si>
    <t>Change in inventory</t>
  </si>
  <si>
    <t>Change in other assets</t>
  </si>
  <si>
    <t>Change in accounts payable</t>
  </si>
  <si>
    <t>Change in accrued and other liabilities</t>
  </si>
  <si>
    <t>Cash provided by operating activities</t>
  </si>
  <si>
    <t>Investing activities</t>
  </si>
  <si>
    <t>Expenditures for property and equipment</t>
  </si>
  <si>
    <t>Other investing activities</t>
  </si>
  <si>
    <t>Cash used in investing activities</t>
  </si>
  <si>
    <t>Financing activities</t>
  </si>
  <si>
    <t>Additions to long-term debt</t>
  </si>
  <si>
    <t>Reductions of long-term debt</t>
  </si>
  <si>
    <t>Dividends paid</t>
  </si>
  <si>
    <t>Repurchase of stock</t>
  </si>
  <si>
    <t>Shares withheld for taxes on share-based compensation</t>
  </si>
  <si>
    <t>Cash used in financing activities</t>
  </si>
  <si>
    <t>Net increase in cash and cash equivalents</t>
  </si>
  <si>
    <t>Cash and cash equivalents at beginning of period</t>
  </si>
  <si>
    <t>Cash and cash equivalents at end of period</t>
  </si>
  <si>
    <t>USD millions</t>
  </si>
  <si>
    <t>Target Corporation — Historical Drivers</t>
  </si>
  <si>
    <t>Historical ratios used to inform forecast assumptions</t>
  </si>
  <si>
    <t>Sales growth</t>
  </si>
  <si>
    <t>Gross margin</t>
  </si>
  <si>
    <t>SG&amp;A as % of sales</t>
  </si>
  <si>
    <t>Operating margin</t>
  </si>
  <si>
    <t>Effective tax rate</t>
  </si>
  <si>
    <t>Inventory / cost of sales</t>
  </si>
  <si>
    <t>Accounts payable / cost of sales</t>
  </si>
  <si>
    <t>Other current assets / sales</t>
  </si>
  <si>
    <t>Accrued current liabilities / sales</t>
  </si>
  <si>
    <t>Cash flow depreciation / sales</t>
  </si>
  <si>
    <t>Capital spending / sales</t>
  </si>
  <si>
    <t>Forecast prepared using information available through September 2026</t>
  </si>
  <si>
    <t>FY2026F</t>
  </si>
  <si>
    <t>FY2027F</t>
  </si>
  <si>
    <t>FY2028F</t>
  </si>
  <si>
    <t>Net sales growth</t>
  </si>
  <si>
    <t>Target Corporation - Forecast Assumptions</t>
  </si>
  <si>
    <t>SG&amp;A / sales</t>
  </si>
  <si>
    <t>Income statement depreciation / sales</t>
  </si>
  <si>
    <t>Net interest expense / sales</t>
  </si>
  <si>
    <t>Net other income (USD millions)</t>
  </si>
  <si>
    <t>Balance sheet difference</t>
  </si>
  <si>
    <t>Cash balance difference</t>
  </si>
  <si>
    <t>Cash flow roll-forward difference</t>
  </si>
  <si>
    <t>USD millions, except percentages</t>
  </si>
  <si>
    <t>Operating cash flow</t>
  </si>
  <si>
    <t>Capital spending</t>
  </si>
  <si>
    <t>Free cash flow</t>
  </si>
  <si>
    <t>Ending cash</t>
  </si>
  <si>
    <t>Cash flows into the balance sheet; all balance sheet checks equal zero</t>
  </si>
  <si>
    <t>Sales, margins, working capital, and capital spending drive the forecast</t>
  </si>
  <si>
    <t>FY2026–FY2028: assumption-based forecasts</t>
  </si>
  <si>
    <t>FY2023–FY2025: historical financial statements</t>
  </si>
  <si>
    <t>Target Corporation - Three-Statement Model Summary</t>
  </si>
  <si>
    <t>Forecast assumptions: 5%/3%/3% sales growth; 23% tax rate</t>
  </si>
  <si>
    <t>Working capital and capital spending use FY2025 ratios</t>
  </si>
  <si>
    <t>Debt and lease balances are held constant; dividends use FY2025 cash amount</t>
  </si>
  <si>
    <t>Interest is modeled as 0.4% of sales, rather than from a debt schedule</t>
  </si>
  <si>
    <t>Sources and forecast context</t>
  </si>
  <si>
    <t>Historical data: Target 2025 Annual Report / Form 10-K</t>
  </si>
  <si>
    <t>FY2026 context: Target Q2 2026 earnings release, August 19, 2026</t>
  </si>
  <si>
    <t>FY2026 operating margin includes an expected tariff-refund benefit; FY2027–FY2028 are analyst assumptions</t>
  </si>
  <si>
    <t>https://corporate.target.com/investors/annual/2025-annual-report</t>
  </si>
  <si>
    <t>https://corporate.target.com/press/release/2026/08/target-corporation-reports-second-quarter-earnings</t>
  </si>
  <si>
    <t>Key findings: FY2026 forecast vs. FY2025 actual</t>
  </si>
  <si>
    <t>Operating margin change (percentage points)</t>
  </si>
  <si>
    <t>Free cash flow increase (USD millions)</t>
  </si>
  <si>
    <t>Depreciation and amortization - income statement</t>
  </si>
  <si>
    <t>Target Corporation - Three-Statement Model</t>
  </si>
  <si>
    <r>
      <t>Model checks</t>
    </r>
    <r>
      <rPr>
        <b/>
        <sz val="11"/>
        <color theme="0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</si>
</sst>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 Unicode MS"/>
    </font>
    <font>
      <b/>
      <sz val="10"/>
      <color theme="1"/>
      <name val="Arial Unicode MS"/>
    </font>
    <font>
      <b/>
      <sz val="10"/>
      <name val="Arial Unicode MS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12"/>
      <color theme="1"/>
      <name val="Arial Unicode MS"/>
    </font>
    <font>
      <b/>
      <sz val="16"/>
      <color theme="0"/>
      <name val="Arial Unicode MS"/>
    </font>
    <font>
      <sz val="11"/>
      <color theme="1"/>
      <name val="Arial Unicode MS"/>
    </font>
    <font>
      <b/>
      <i/>
      <sz val="12"/>
      <color theme="1"/>
      <name val="Arial Unicode MS"/>
    </font>
    <font>
      <b/>
      <i/>
      <sz val="10"/>
      <color theme="1"/>
      <name val="Arial Unicode MS"/>
    </font>
    <font>
      <b/>
      <i/>
      <sz val="14"/>
      <color theme="1"/>
      <name val="Arial Unicode MS"/>
    </font>
    <font>
      <b/>
      <sz val="10"/>
      <color theme="0"/>
      <name val="Arial Unicode MS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0"/>
      <color theme="2" tint="-0.499984740745262"/>
      <name val="Arial Unicode MS"/>
    </font>
    <font>
      <sz val="10"/>
      <color theme="2" tint="-0.89999084444715716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1" applyNumberFormat="1" applyFont="1"/>
    <xf numFmtId="164" fontId="0" fillId="0" borderId="0" xfId="1" applyNumberFormat="1" applyFont="1"/>
    <xf numFmtId="164" fontId="2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0" applyNumberFormat="1"/>
    <xf numFmtId="164" fontId="3" fillId="0" borderId="0" xfId="0" applyNumberFormat="1" applyFont="1"/>
    <xf numFmtId="165" fontId="0" fillId="0" borderId="0" xfId="2" applyNumberFormat="1" applyFont="1"/>
    <xf numFmtId="165" fontId="2" fillId="0" borderId="0" xfId="2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164" fontId="3" fillId="0" borderId="0" xfId="1" applyNumberFormat="1" applyFont="1" applyAlignment="1">
      <alignment vertical="center"/>
    </xf>
    <xf numFmtId="165" fontId="3" fillId="0" borderId="0" xfId="2" applyNumberFormat="1" applyFont="1" applyAlignment="1">
      <alignment vertical="center"/>
    </xf>
    <xf numFmtId="0" fontId="7" fillId="3" borderId="0" xfId="0" applyFont="1" applyFill="1"/>
    <xf numFmtId="0" fontId="0" fillId="0" borderId="0" xfId="0" applyAlignment="1">
      <alignment horizontal="centerContinuous"/>
    </xf>
    <xf numFmtId="164" fontId="3" fillId="0" borderId="0" xfId="1" applyNumberFormat="1" applyFont="1" applyBorder="1"/>
    <xf numFmtId="0" fontId="7" fillId="0" borderId="0" xfId="0" applyFont="1" applyAlignment="1">
      <alignment vertical="center" wrapText="1"/>
    </xf>
    <xf numFmtId="0" fontId="5" fillId="0" borderId="0" xfId="3" applyAlignment="1"/>
    <xf numFmtId="0" fontId="0" fillId="4" borderId="0" xfId="0" applyFill="1" applyAlignment="1">
      <alignment horizontal="centerContinuous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Continuous"/>
    </xf>
    <xf numFmtId="0" fontId="0" fillId="0" borderId="0" xfId="0" applyBorder="1" applyAlignment="1">
      <alignment horizontal="centerContinuous"/>
    </xf>
    <xf numFmtId="0" fontId="7" fillId="5" borderId="0" xfId="0" applyFont="1" applyFill="1"/>
    <xf numFmtId="164" fontId="0" fillId="0" borderId="0" xfId="1" applyNumberFormat="1" applyFont="1" applyBorder="1"/>
    <xf numFmtId="0" fontId="2" fillId="0" borderId="0" xfId="0" applyFont="1"/>
    <xf numFmtId="0" fontId="2" fillId="0" borderId="0" xfId="0" applyFont="1" applyAlignment="1">
      <alignment horizontal="centerContinuous"/>
    </xf>
    <xf numFmtId="164" fontId="0" fillId="0" borderId="0" xfId="1" applyNumberFormat="1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Border="1" applyAlignment="1">
      <alignment horizontal="centerContinuous"/>
    </xf>
    <xf numFmtId="0" fontId="13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centerContinuous" vertical="center"/>
    </xf>
    <xf numFmtId="164" fontId="12" fillId="0" borderId="0" xfId="1" applyNumberFormat="1" applyFont="1" applyAlignment="1">
      <alignment horizontal="centerContinuous"/>
    </xf>
    <xf numFmtId="0" fontId="2" fillId="0" borderId="0" xfId="0" applyFont="1" applyAlignment="1"/>
    <xf numFmtId="164" fontId="0" fillId="0" borderId="0" xfId="1" applyNumberFormat="1" applyFont="1" applyAlignment="1"/>
    <xf numFmtId="0" fontId="0" fillId="0" borderId="0" xfId="0" applyAlignment="1"/>
    <xf numFmtId="164" fontId="3" fillId="0" borderId="0" xfId="1" applyNumberFormat="1" applyFont="1" applyAlignment="1"/>
    <xf numFmtId="0" fontId="7" fillId="0" borderId="0" xfId="0" applyFont="1" applyAlignment="1">
      <alignment horizontal="centerContinuous" vertical="center"/>
    </xf>
    <xf numFmtId="0" fontId="14" fillId="4" borderId="0" xfId="0" applyFont="1" applyFill="1" applyAlignment="1">
      <alignment horizontal="centerContinuous" vertical="center"/>
    </xf>
    <xf numFmtId="0" fontId="9" fillId="4" borderId="0" xfId="0" applyFont="1" applyFill="1" applyAlignment="1">
      <alignment horizontal="centerContinuous" vertical="center" wrapText="1"/>
    </xf>
    <xf numFmtId="0" fontId="9" fillId="4" borderId="0" xfId="0" applyFont="1" applyFill="1" applyAlignment="1">
      <alignment horizontal="centerContinuous"/>
    </xf>
    <xf numFmtId="0" fontId="10" fillId="4" borderId="0" xfId="0" applyFont="1" applyFill="1" applyAlignment="1">
      <alignment horizontal="centerContinuous"/>
    </xf>
    <xf numFmtId="0" fontId="11" fillId="0" borderId="0" xfId="0" applyFont="1" applyAlignment="1">
      <alignment vertical="center"/>
    </xf>
    <xf numFmtId="164" fontId="7" fillId="0" borderId="0" xfId="1" applyNumberFormat="1" applyFont="1" applyBorder="1"/>
    <xf numFmtId="164" fontId="2" fillId="0" borderId="0" xfId="1" applyNumberFormat="1" applyFont="1" applyBorder="1"/>
    <xf numFmtId="164" fontId="7" fillId="0" borderId="0" xfId="1" applyNumberFormat="1" applyFont="1"/>
    <xf numFmtId="164" fontId="7" fillId="0" borderId="0" xfId="0" applyNumberFormat="1" applyFont="1"/>
    <xf numFmtId="0" fontId="14" fillId="4" borderId="0" xfId="0" applyFont="1" applyFill="1" applyAlignment="1">
      <alignment horizontal="centerContinuous"/>
    </xf>
    <xf numFmtId="9" fontId="3" fillId="6" borderId="0" xfId="0" applyNumberFormat="1" applyFont="1" applyFill="1" applyBorder="1"/>
    <xf numFmtId="9" fontId="3" fillId="6" borderId="3" xfId="0" applyNumberFormat="1" applyFont="1" applyFill="1" applyBorder="1"/>
    <xf numFmtId="9" fontId="3" fillId="6" borderId="4" xfId="0" applyNumberFormat="1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5" xfId="0" applyFont="1" applyFill="1" applyBorder="1"/>
    <xf numFmtId="165" fontId="3" fillId="6" borderId="6" xfId="2" applyNumberFormat="1" applyFont="1" applyFill="1" applyBorder="1"/>
    <xf numFmtId="165" fontId="3" fillId="6" borderId="7" xfId="2" applyNumberFormat="1" applyFont="1" applyFill="1" applyBorder="1"/>
    <xf numFmtId="165" fontId="3" fillId="6" borderId="5" xfId="2" applyNumberFormat="1" applyFont="1" applyFill="1" applyBorder="1"/>
    <xf numFmtId="0" fontId="0" fillId="0" borderId="5" xfId="0" applyBorder="1"/>
    <xf numFmtId="165" fontId="0" fillId="6" borderId="6" xfId="2" applyNumberFormat="1" applyFont="1" applyFill="1" applyBorder="1"/>
    <xf numFmtId="165" fontId="0" fillId="6" borderId="7" xfId="2" applyNumberFormat="1" applyFont="1" applyFill="1" applyBorder="1"/>
    <xf numFmtId="165" fontId="0" fillId="6" borderId="8" xfId="2" applyNumberFormat="1" applyFont="1" applyFill="1" applyBorder="1" applyAlignment="1">
      <alignment vertical="center" wrapText="1"/>
    </xf>
    <xf numFmtId="165" fontId="0" fillId="6" borderId="8" xfId="2" applyNumberFormat="1" applyFont="1" applyFill="1" applyBorder="1"/>
    <xf numFmtId="165" fontId="6" fillId="6" borderId="9" xfId="2" applyNumberFormat="1" applyFont="1" applyFill="1" applyBorder="1"/>
    <xf numFmtId="165" fontId="6" fillId="6" borderId="7" xfId="2" applyNumberFormat="1" applyFont="1" applyFill="1" applyBorder="1"/>
    <xf numFmtId="165" fontId="6" fillId="6" borderId="6" xfId="2" applyNumberFormat="1" applyFont="1" applyFill="1" applyBorder="1"/>
    <xf numFmtId="165" fontId="0" fillId="6" borderId="10" xfId="2" applyNumberFormat="1" applyFont="1" applyFill="1" applyBorder="1"/>
    <xf numFmtId="165" fontId="0" fillId="6" borderId="9" xfId="2" applyNumberFormat="1" applyFont="1" applyFill="1" applyBorder="1"/>
    <xf numFmtId="0" fontId="7" fillId="7" borderId="0" xfId="0" applyFont="1" applyFill="1"/>
    <xf numFmtId="0" fontId="15" fillId="0" borderId="0" xfId="0" applyFont="1" applyAlignment="1">
      <alignment vertical="center"/>
    </xf>
    <xf numFmtId="1" fontId="15" fillId="0" borderId="0" xfId="1" applyNumberFormat="1" applyFont="1"/>
    <xf numFmtId="1" fontId="15" fillId="0" borderId="0" xfId="0" applyNumberFormat="1" applyFont="1"/>
    <xf numFmtId="165" fontId="15" fillId="0" borderId="0" xfId="2" applyNumberFormat="1" applyFont="1"/>
    <xf numFmtId="0" fontId="15" fillId="0" borderId="0" xfId="0" applyFont="1"/>
    <xf numFmtId="0" fontId="0" fillId="0" borderId="0" xfId="0" applyFont="1"/>
    <xf numFmtId="0" fontId="15" fillId="0" borderId="0" xfId="0" applyFont="1" applyAlignment="1">
      <alignment vertical="center" wrapText="1"/>
    </xf>
    <xf numFmtId="165" fontId="15" fillId="0" borderId="0" xfId="2" applyNumberFormat="1" applyFont="1" applyAlignment="1">
      <alignment vertical="center" wrapText="1"/>
    </xf>
    <xf numFmtId="0" fontId="13" fillId="7" borderId="0" xfId="0" applyFont="1" applyFill="1"/>
    <xf numFmtId="0" fontId="13" fillId="5" borderId="0" xfId="0" applyFont="1" applyFill="1"/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6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 vertical="center"/>
    </xf>
    <xf numFmtId="0" fontId="11" fillId="7" borderId="0" xfId="0" applyFont="1" applyFill="1" applyAlignment="1">
      <alignment vertical="center"/>
    </xf>
    <xf numFmtId="0" fontId="11" fillId="7" borderId="0" xfId="0" applyFont="1" applyFill="1"/>
    <xf numFmtId="164" fontId="2" fillId="0" borderId="0" xfId="1" applyNumberFormat="1" applyFont="1" applyAlignment="1">
      <alignment horizontal="centerContinuous"/>
    </xf>
    <xf numFmtId="164" fontId="2" fillId="0" borderId="0" xfId="1" applyNumberFormat="1" applyFont="1"/>
    <xf numFmtId="164" fontId="2" fillId="0" borderId="0" xfId="1" applyNumberFormat="1" applyFont="1" applyAlignment="1"/>
    <xf numFmtId="164" fontId="2" fillId="0" borderId="0" xfId="1" applyNumberFormat="1" applyFont="1" applyAlignment="1">
      <alignment horizontal="centerContinuous" vertical="center" wrapText="1"/>
    </xf>
    <xf numFmtId="0" fontId="19" fillId="4" borderId="0" xfId="0" applyFont="1" applyFill="1" applyAlignment="1">
      <alignment horizontal="centerContinuous"/>
    </xf>
    <xf numFmtId="2" fontId="3" fillId="8" borderId="0" xfId="0" applyNumberFormat="1" applyFont="1" applyFill="1" applyAlignment="1">
      <alignment vertical="center"/>
    </xf>
    <xf numFmtId="0" fontId="20" fillId="4" borderId="0" xfId="0" applyFont="1" applyFill="1" applyAlignment="1">
      <alignment horizontal="centerContinuous"/>
    </xf>
    <xf numFmtId="0" fontId="21" fillId="4" borderId="0" xfId="0" applyFont="1" applyFill="1" applyAlignment="1">
      <alignment horizontal="centerContinuous"/>
    </xf>
    <xf numFmtId="0" fontId="21" fillId="4" borderId="0" xfId="0" applyFont="1" applyFill="1"/>
    <xf numFmtId="0" fontId="22" fillId="0" borderId="0" xfId="0" applyFont="1" applyAlignment="1">
      <alignment horizontal="centerContinuous"/>
    </xf>
    <xf numFmtId="0" fontId="8" fillId="5" borderId="0" xfId="0" applyFont="1" applyFill="1"/>
    <xf numFmtId="164" fontId="3" fillId="6" borderId="0" xfId="1" applyNumberFormat="1" applyFont="1" applyFill="1" applyAlignment="1">
      <alignment vertical="center"/>
    </xf>
    <xf numFmtId="165" fontId="3" fillId="6" borderId="0" xfId="2" applyNumberFormat="1" applyFont="1" applyFill="1" applyAlignment="1">
      <alignment vertical="center"/>
    </xf>
    <xf numFmtId="164" fontId="3" fillId="6" borderId="0" xfId="1" applyNumberFormat="1" applyFont="1" applyFill="1"/>
    <xf numFmtId="164" fontId="3" fillId="6" borderId="0" xfId="1" applyNumberFormat="1" applyFont="1" applyFill="1" applyBorder="1"/>
    <xf numFmtId="164" fontId="7" fillId="6" borderId="0" xfId="1" applyNumberFormat="1" applyFont="1" applyFill="1" applyBorder="1"/>
    <xf numFmtId="0" fontId="0" fillId="0" borderId="0" xfId="0" applyBorder="1" applyAlignment="1">
      <alignment vertical="center"/>
    </xf>
    <xf numFmtId="164" fontId="3" fillId="0" borderId="12" xfId="1" applyNumberFormat="1" applyFont="1" applyBorder="1" applyAlignment="1">
      <alignment vertical="center"/>
    </xf>
    <xf numFmtId="164" fontId="3" fillId="6" borderId="12" xfId="1" applyNumberFormat="1" applyFont="1" applyFill="1" applyBorder="1" applyAlignment="1">
      <alignment vertical="center"/>
    </xf>
    <xf numFmtId="0" fontId="7" fillId="7" borderId="12" xfId="0" applyFont="1" applyFill="1" applyBorder="1"/>
    <xf numFmtId="0" fontId="7" fillId="5" borderId="12" xfId="0" applyFont="1" applyFill="1" applyBorder="1"/>
    <xf numFmtId="0" fontId="7" fillId="7" borderId="13" xfId="0" applyFont="1" applyFill="1" applyBorder="1"/>
    <xf numFmtId="0" fontId="7" fillId="5" borderId="14" xfId="0" applyFont="1" applyFill="1" applyBorder="1"/>
    <xf numFmtId="164" fontId="3" fillId="0" borderId="2" xfId="0" applyNumberFormat="1" applyFont="1" applyBorder="1"/>
    <xf numFmtId="164" fontId="3" fillId="0" borderId="11" xfId="0" applyNumberFormat="1" applyFont="1" applyBorder="1"/>
    <xf numFmtId="164" fontId="3" fillId="0" borderId="15" xfId="0" applyNumberFormat="1" applyFont="1" applyBorder="1"/>
    <xf numFmtId="0" fontId="7" fillId="2" borderId="13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/>
    <xf numFmtId="0" fontId="2" fillId="2" borderId="14" xfId="0" applyFont="1" applyFill="1" applyBorder="1"/>
    <xf numFmtId="0" fontId="7" fillId="2" borderId="16" xfId="0" applyFont="1" applyFill="1" applyBorder="1" applyAlignment="1">
      <alignment vertical="center" wrapText="1"/>
    </xf>
    <xf numFmtId="165" fontId="7" fillId="2" borderId="0" xfId="2" applyNumberFormat="1" applyFont="1" applyFill="1" applyBorder="1" applyAlignment="1">
      <alignment vertical="center" wrapText="1"/>
    </xf>
    <xf numFmtId="0" fontId="2" fillId="2" borderId="0" xfId="0" applyFont="1" applyFill="1" applyBorder="1"/>
    <xf numFmtId="0" fontId="2" fillId="2" borderId="1" xfId="0" applyFont="1" applyFill="1" applyBorder="1"/>
    <xf numFmtId="166" fontId="2" fillId="2" borderId="0" xfId="0" applyNumberFormat="1" applyFont="1" applyFill="1" applyBorder="1"/>
    <xf numFmtId="0" fontId="7" fillId="2" borderId="2" xfId="0" applyFont="1" applyFill="1" applyBorder="1" applyAlignment="1">
      <alignment vertical="center" wrapText="1"/>
    </xf>
    <xf numFmtId="164" fontId="7" fillId="2" borderId="11" xfId="1" applyNumberFormat="1" applyFont="1" applyFill="1" applyBorder="1"/>
    <xf numFmtId="0" fontId="2" fillId="2" borderId="11" xfId="0" applyFont="1" applyFill="1" applyBorder="1"/>
    <xf numFmtId="0" fontId="2" fillId="2" borderId="15" xfId="0" applyFont="1" applyFill="1" applyBorder="1"/>
    <xf numFmtId="0" fontId="23" fillId="0" borderId="0" xfId="0" applyFont="1"/>
    <xf numFmtId="0" fontId="7" fillId="6" borderId="0" xfId="0" applyFont="1" applyFill="1"/>
    <xf numFmtId="0" fontId="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Free Cash Flow: Historical and Forecast (USD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866-447E-B080-104FC002728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866-447E-B080-104FC002728A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866-447E-B080-104FC00272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Summary!$B$21:$G$21</c:f>
              <c:strCache>
                <c:ptCount val="6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FY2026F</c:v>
                </c:pt>
                <c:pt idx="4">
                  <c:v>FY2027F</c:v>
                </c:pt>
                <c:pt idx="5">
                  <c:v>FY2028F</c:v>
                </c:pt>
              </c:strCache>
            </c:strRef>
          </c:cat>
          <c:val>
            <c:numRef>
              <c:f>Summary!$B$22:$G$22</c:f>
              <c:numCache>
                <c:formatCode>_(* #,##0_);_(* \(#,##0\);_(* "-"??_);_(@_)</c:formatCode>
                <c:ptCount val="6"/>
                <c:pt idx="0">
                  <c:v>3815</c:v>
                </c:pt>
                <c:pt idx="1">
                  <c:v>4476</c:v>
                </c:pt>
                <c:pt idx="2">
                  <c:v>2835</c:v>
                </c:pt>
                <c:pt idx="3">
                  <c:v>4698.8025166940006</c:v>
                </c:pt>
                <c:pt idx="4">
                  <c:v>4135.8969376592395</c:v>
                </c:pt>
                <c:pt idx="5">
                  <c:v>4514.6469538338297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6-447E-B080-104FC0027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7497872"/>
        <c:axId val="325441936"/>
      </c:barChart>
      <c:catAx>
        <c:axId val="183749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41936"/>
        <c:crosses val="autoZero"/>
        <c:auto val="1"/>
        <c:lblAlgn val="ctr"/>
        <c:lblOffset val="100"/>
        <c:noMultiLvlLbl val="0"/>
      </c:catAx>
      <c:valAx>
        <c:axId val="3254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49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2</xdr:row>
      <xdr:rowOff>190499</xdr:rowOff>
    </xdr:from>
    <xdr:to>
      <xdr:col>16</xdr:col>
      <xdr:colOff>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DEB6A-7387-9541-53D6-A2EB4BECF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rporate.target.com/press/release/2026/08/target-corporation-reports-second-quarter-earnings" TargetMode="External"/><Relationship Id="rId1" Type="http://schemas.openxmlformats.org/officeDocument/2006/relationships/hyperlink" Target="https://corporate.target.com/investors/annual/2025-annual-repor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5DB7-3A07-4E83-A73B-8D349FD9DC7B}">
  <dimension ref="A1:S43"/>
  <sheetViews>
    <sheetView tabSelected="1" topLeftCell="A18" workbookViewId="0">
      <selection activeCell="B41" sqref="B41"/>
    </sheetView>
  </sheetViews>
  <sheetFormatPr defaultRowHeight="15"/>
  <cols>
    <col min="1" max="1" width="68.85546875" customWidth="1"/>
    <col min="2" max="2" width="11.28515625" bestFit="1" customWidth="1"/>
    <col min="3" max="7" width="8.7109375" bestFit="1" customWidth="1"/>
  </cols>
  <sheetData>
    <row r="1" spans="1:19" ht="21">
      <c r="A1" s="51" t="s">
        <v>104</v>
      </c>
      <c r="B1" s="94"/>
      <c r="C1" s="94"/>
      <c r="D1" s="94"/>
      <c r="E1" s="94"/>
      <c r="F1" s="94"/>
      <c r="G1" s="94"/>
      <c r="H1" s="95"/>
      <c r="I1" s="95"/>
      <c r="J1" s="96"/>
      <c r="K1" s="96"/>
      <c r="L1" s="96"/>
      <c r="M1" s="96"/>
      <c r="N1" s="96"/>
      <c r="O1" s="96"/>
      <c r="P1" s="96"/>
      <c r="Q1" s="96"/>
      <c r="R1" s="96"/>
      <c r="S1" s="96"/>
    </row>
    <row r="2" spans="1:19" ht="15.75">
      <c r="A2" s="82" t="s">
        <v>95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4" spans="1:19">
      <c r="B4" s="16" t="str">
        <f>'Three Statements'!B4</f>
        <v>FY2023</v>
      </c>
      <c r="C4" s="16" t="str">
        <f>'Three Statements'!C4</f>
        <v>FY2024</v>
      </c>
      <c r="D4" s="16" t="str">
        <f>'Three Statements'!D4</f>
        <v>FY2025</v>
      </c>
      <c r="E4" s="98" t="str">
        <f>'Three Statements'!E4</f>
        <v>FY2026F</v>
      </c>
      <c r="F4" s="98" t="str">
        <f>'Three Statements'!F4</f>
        <v>FY2027F</v>
      </c>
      <c r="G4" s="98" t="str">
        <f>'Three Statements'!G4</f>
        <v>FY2028F</v>
      </c>
    </row>
    <row r="5" spans="1:19">
      <c r="A5" s="2"/>
      <c r="B5" s="2"/>
      <c r="C5" s="2"/>
    </row>
    <row r="6" spans="1:19">
      <c r="A6" s="13" t="s">
        <v>7</v>
      </c>
      <c r="B6" s="14">
        <f>'Three Statements'!B7</f>
        <v>107412</v>
      </c>
      <c r="C6" s="14">
        <f>'Three Statements'!C7</f>
        <v>106566</v>
      </c>
      <c r="D6" s="14">
        <f>'Three Statements'!D7</f>
        <v>104780</v>
      </c>
      <c r="E6" s="99">
        <f>'Three Statements'!E7</f>
        <v>110019</v>
      </c>
      <c r="F6" s="99">
        <f>'Three Statements'!F7</f>
        <v>113319.57</v>
      </c>
      <c r="G6" s="99">
        <f>'Three Statements'!G7</f>
        <v>116719.15710000001</v>
      </c>
    </row>
    <row r="7" spans="1:19">
      <c r="A7" s="13" t="s">
        <v>11</v>
      </c>
      <c r="B7" s="14">
        <f>'Three Statements'!B11</f>
        <v>5707</v>
      </c>
      <c r="C7" s="14">
        <f>'Three Statements'!C11</f>
        <v>5566</v>
      </c>
      <c r="D7" s="14">
        <f>'Three Statements'!D11</f>
        <v>5117</v>
      </c>
      <c r="E7" s="99">
        <f>'Three Statements'!E11</f>
        <v>6601.1400000000122</v>
      </c>
      <c r="F7" s="99">
        <f>'Three Statements'!F11</f>
        <v>6005.9372099999946</v>
      </c>
      <c r="G7" s="99">
        <f>'Three Statements'!G11</f>
        <v>6536.2727975999987</v>
      </c>
    </row>
    <row r="8" spans="1:19">
      <c r="A8" s="13" t="s">
        <v>74</v>
      </c>
      <c r="B8" s="15">
        <f>B7/B6</f>
        <v>5.3131866085725989E-2</v>
      </c>
      <c r="C8" s="15">
        <f t="shared" ref="C8:G8" si="0">C7/C6</f>
        <v>5.2230542574554735E-2</v>
      </c>
      <c r="D8" s="15">
        <f t="shared" si="0"/>
        <v>4.8835655659476999E-2</v>
      </c>
      <c r="E8" s="100">
        <f t="shared" si="0"/>
        <v>6.0000000000000109E-2</v>
      </c>
      <c r="F8" s="100">
        <f t="shared" si="0"/>
        <v>5.299999999999995E-2</v>
      </c>
      <c r="G8" s="100">
        <f t="shared" si="0"/>
        <v>5.599999999999998E-2</v>
      </c>
    </row>
    <row r="9" spans="1:19">
      <c r="A9" s="13" t="s">
        <v>16</v>
      </c>
      <c r="B9" s="5">
        <f>'Three Statements'!B16</f>
        <v>4138</v>
      </c>
      <c r="C9" s="5">
        <f>'Three Statements'!C16</f>
        <v>4091</v>
      </c>
      <c r="D9" s="5">
        <f>'Three Statements'!D16</f>
        <v>3705</v>
      </c>
      <c r="E9" s="101">
        <f>'Three Statements'!E16</f>
        <v>4817.1692800000092</v>
      </c>
      <c r="F9" s="101">
        <f>'Three Statements'!F16</f>
        <v>4348.6973760999954</v>
      </c>
      <c r="G9" s="101">
        <f>'Three Statements'!G16</f>
        <v>4746.5850502839985</v>
      </c>
    </row>
    <row r="10" spans="1:19">
      <c r="A10" s="13" t="s">
        <v>96</v>
      </c>
      <c r="B10" s="18">
        <f>'Three Statements'!B61</f>
        <v>8621</v>
      </c>
      <c r="C10" s="18">
        <f>'Three Statements'!C61</f>
        <v>7367</v>
      </c>
      <c r="D10" s="18">
        <f>'Three Statements'!D61</f>
        <v>6562</v>
      </c>
      <c r="E10" s="102">
        <f>'Three Statements'!E61</f>
        <v>8612.152516694001</v>
      </c>
      <c r="F10" s="102">
        <f>'Three Statements'!F61</f>
        <v>8166.6474376592396</v>
      </c>
      <c r="G10" s="102">
        <f>'Three Statements'!G61</f>
        <v>8666.31996883383</v>
      </c>
    </row>
    <row r="11" spans="1:19">
      <c r="A11" s="104" t="s">
        <v>97</v>
      </c>
      <c r="B11" s="47">
        <f>'Three Statements'!B64</f>
        <v>-4806</v>
      </c>
      <c r="C11" s="47">
        <f>'Three Statements'!C64</f>
        <v>-2891</v>
      </c>
      <c r="D11" s="47">
        <f>'Three Statements'!D64</f>
        <v>-3727</v>
      </c>
      <c r="E11" s="103">
        <f>'Three Statements'!E64</f>
        <v>-3913.35</v>
      </c>
      <c r="F11" s="103">
        <f>'Three Statements'!F64</f>
        <v>-4030.7505000000001</v>
      </c>
      <c r="G11" s="103">
        <f>'Three Statements'!G64</f>
        <v>-4151.6730150000003</v>
      </c>
    </row>
    <row r="12" spans="1:19">
      <c r="A12" s="13" t="s">
        <v>98</v>
      </c>
      <c r="B12" s="105">
        <f>B10+B11</f>
        <v>3815</v>
      </c>
      <c r="C12" s="105">
        <f t="shared" ref="C12:G12" si="1">C10+C11</f>
        <v>4476</v>
      </c>
      <c r="D12" s="105">
        <f t="shared" si="1"/>
        <v>2835</v>
      </c>
      <c r="E12" s="106">
        <f t="shared" si="1"/>
        <v>4698.8025166940006</v>
      </c>
      <c r="F12" s="106">
        <f t="shared" si="1"/>
        <v>4135.8969376592395</v>
      </c>
      <c r="G12" s="106">
        <f t="shared" si="1"/>
        <v>4514.6469538338297</v>
      </c>
    </row>
    <row r="13" spans="1:19">
      <c r="A13" s="13" t="s">
        <v>99</v>
      </c>
      <c r="B13" s="5">
        <f>'Three Statements'!B78</f>
        <v>3805</v>
      </c>
      <c r="C13" s="5">
        <f>'Three Statements'!C78</f>
        <v>4762</v>
      </c>
      <c r="D13" s="5">
        <f>'Three Statements'!D78</f>
        <v>5488</v>
      </c>
      <c r="E13" s="101">
        <f>'Three Statements'!E78</f>
        <v>8133.8025166940006</v>
      </c>
      <c r="F13" s="101">
        <f>'Three Statements'!F78</f>
        <v>10216.69945435324</v>
      </c>
      <c r="G13" s="101">
        <f>'Three Statements'!G78</f>
        <v>12678.34640818707</v>
      </c>
    </row>
    <row r="14" spans="1:19">
      <c r="A14" s="13" t="s">
        <v>92</v>
      </c>
      <c r="B14" s="5">
        <f>Checks!B6</f>
        <v>0</v>
      </c>
      <c r="C14" s="5">
        <f>Checks!C6</f>
        <v>0</v>
      </c>
      <c r="D14" s="5">
        <f>Checks!D6</f>
        <v>0</v>
      </c>
      <c r="E14" s="101">
        <f>Checks!E6</f>
        <v>0</v>
      </c>
      <c r="F14" s="101">
        <f>Checks!F6</f>
        <v>0</v>
      </c>
      <c r="G14" s="101">
        <f>Checks!G6</f>
        <v>0</v>
      </c>
    </row>
    <row r="16" spans="1:19">
      <c r="A16" s="114" t="s">
        <v>115</v>
      </c>
      <c r="B16" s="115"/>
      <c r="C16" s="116"/>
      <c r="D16" s="116"/>
      <c r="E16" s="116"/>
      <c r="F16" s="116"/>
      <c r="G16" s="117"/>
    </row>
    <row r="17" spans="1:7">
      <c r="A17" s="118" t="s">
        <v>86</v>
      </c>
      <c r="B17" s="119">
        <f>E6/D6-1</f>
        <v>5.0000000000000044E-2</v>
      </c>
      <c r="C17" s="120"/>
      <c r="D17" s="120"/>
      <c r="E17" s="120"/>
      <c r="F17" s="120"/>
      <c r="G17" s="121"/>
    </row>
    <row r="18" spans="1:7">
      <c r="A18" s="118" t="s">
        <v>116</v>
      </c>
      <c r="B18" s="122">
        <f>(E8-D8)*100</f>
        <v>1.1164344340523109</v>
      </c>
      <c r="C18" s="120"/>
      <c r="D18" s="120"/>
      <c r="E18" s="120"/>
      <c r="F18" s="120"/>
      <c r="G18" s="121"/>
    </row>
    <row r="19" spans="1:7">
      <c r="A19" s="123" t="s">
        <v>117</v>
      </c>
      <c r="B19" s="124">
        <f>E12-D12</f>
        <v>1863.8025166940006</v>
      </c>
      <c r="C19" s="125"/>
      <c r="D19" s="125"/>
      <c r="E19" s="125"/>
      <c r="F19" s="125"/>
      <c r="G19" s="126"/>
    </row>
    <row r="21" spans="1:7">
      <c r="A21" s="23" t="s">
        <v>2</v>
      </c>
      <c r="B21" s="109" t="str">
        <f>B4</f>
        <v>FY2023</v>
      </c>
      <c r="C21" s="107" t="str">
        <f>C4</f>
        <v>FY2024</v>
      </c>
      <c r="D21" s="107" t="str">
        <f>D4</f>
        <v>FY2025</v>
      </c>
      <c r="E21" s="108" t="str">
        <f>E4</f>
        <v>FY2026F</v>
      </c>
      <c r="F21" s="108" t="str">
        <f>F4</f>
        <v>FY2027F</v>
      </c>
      <c r="G21" s="110" t="str">
        <f>G4</f>
        <v>FY2028F</v>
      </c>
    </row>
    <row r="22" spans="1:7">
      <c r="A22" s="23" t="s">
        <v>98</v>
      </c>
      <c r="B22" s="111">
        <f>B12</f>
        <v>3815</v>
      </c>
      <c r="C22" s="112">
        <f>C12</f>
        <v>4476</v>
      </c>
      <c r="D22" s="112">
        <f>D12</f>
        <v>2835</v>
      </c>
      <c r="E22" s="112">
        <f>E12</f>
        <v>4698.8025166940006</v>
      </c>
      <c r="F22" s="112">
        <f>F12</f>
        <v>4135.8969376592395</v>
      </c>
      <c r="G22" s="113">
        <f>G12</f>
        <v>4514.6469538338297</v>
      </c>
    </row>
    <row r="26" spans="1:7">
      <c r="A26" s="127" t="s">
        <v>103</v>
      </c>
    </row>
    <row r="27" spans="1:7">
      <c r="A27" s="127" t="s">
        <v>102</v>
      </c>
    </row>
    <row r="28" spans="1:7">
      <c r="A28" s="127" t="s">
        <v>101</v>
      </c>
    </row>
    <row r="29" spans="1:7">
      <c r="A29" s="127" t="s">
        <v>100</v>
      </c>
    </row>
    <row r="31" spans="1:7">
      <c r="A31" s="128" t="s">
        <v>105</v>
      </c>
    </row>
    <row r="32" spans="1:7">
      <c r="A32" s="129" t="s">
        <v>106</v>
      </c>
    </row>
    <row r="33" spans="1:2">
      <c r="A33" s="129" t="s">
        <v>107</v>
      </c>
    </row>
    <row r="34" spans="1:2">
      <c r="A34" s="129" t="s">
        <v>108</v>
      </c>
    </row>
    <row r="37" spans="1:2">
      <c r="A37" s="19" t="s">
        <v>109</v>
      </c>
      <c r="B37" s="2"/>
    </row>
    <row r="38" spans="1:2">
      <c r="A38" s="130" t="s">
        <v>110</v>
      </c>
    </row>
    <row r="39" spans="1:2">
      <c r="A39" s="130" t="s">
        <v>111</v>
      </c>
    </row>
    <row r="40" spans="1:2">
      <c r="A40" s="130" t="s">
        <v>112</v>
      </c>
    </row>
    <row r="41" spans="1:2">
      <c r="A41" s="4"/>
    </row>
    <row r="42" spans="1:2">
      <c r="A42" s="20" t="s">
        <v>113</v>
      </c>
    </row>
    <row r="43" spans="1:2">
      <c r="A43" s="20" t="s">
        <v>114</v>
      </c>
    </row>
  </sheetData>
  <hyperlinks>
    <hyperlink ref="A42" r:id="rId1" xr:uid="{C7D1684B-8CF1-41AF-B729-9934FC0D672A}"/>
    <hyperlink ref="A43" r:id="rId2" xr:uid="{1AD5E66C-81FB-478F-845D-4F1F26EA7B88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BBB4-B96A-4053-9B3E-FBC69907C3C7}">
  <dimension ref="A1:L12"/>
  <sheetViews>
    <sheetView workbookViewId="0">
      <selection activeCell="A2" sqref="A2"/>
    </sheetView>
  </sheetViews>
  <sheetFormatPr defaultRowHeight="15"/>
  <cols>
    <col min="1" max="1" width="35.42578125" bestFit="1" customWidth="1"/>
    <col min="5" max="7" width="8.42578125" bestFit="1" customWidth="1"/>
  </cols>
  <sheetData>
    <row r="1" spans="1:12" ht="20.25">
      <c r="A1" s="51" t="s">
        <v>87</v>
      </c>
      <c r="B1" s="44"/>
      <c r="C1" s="44"/>
      <c r="D1" s="44"/>
      <c r="E1" s="44"/>
      <c r="F1" s="44"/>
      <c r="G1" s="44"/>
      <c r="H1" s="44"/>
      <c r="I1" s="44"/>
      <c r="J1" s="21"/>
      <c r="K1" s="21"/>
      <c r="L1" s="21"/>
    </row>
    <row r="2" spans="1:12" ht="15.75">
      <c r="A2" s="82" t="s">
        <v>82</v>
      </c>
      <c r="B2" s="29"/>
      <c r="C2" s="29"/>
      <c r="D2" s="29"/>
      <c r="E2" s="29"/>
      <c r="F2" s="29"/>
      <c r="G2" s="29"/>
      <c r="H2" s="29"/>
      <c r="I2" s="29"/>
      <c r="J2" s="17"/>
      <c r="K2" s="17"/>
      <c r="L2" s="17"/>
    </row>
    <row r="4" spans="1:12" s="28" customFormat="1">
      <c r="A4" s="23" t="s">
        <v>2</v>
      </c>
      <c r="E4" s="26" t="s">
        <v>83</v>
      </c>
      <c r="F4" s="26" t="s">
        <v>84</v>
      </c>
      <c r="G4" s="26" t="s">
        <v>85</v>
      </c>
    </row>
    <row r="6" spans="1:12">
      <c r="A6" s="1" t="s">
        <v>86</v>
      </c>
      <c r="E6" s="68">
        <v>0.05</v>
      </c>
      <c r="F6" s="67">
        <v>0.03</v>
      </c>
      <c r="G6" s="66">
        <v>0.03</v>
      </c>
    </row>
    <row r="7" spans="1:12">
      <c r="A7" t="s">
        <v>72</v>
      </c>
      <c r="E7" s="69">
        <v>0.29199999999999998</v>
      </c>
      <c r="F7" s="70">
        <v>0.28499999999999998</v>
      </c>
      <c r="G7" s="63">
        <v>0.28699999999999998</v>
      </c>
    </row>
    <row r="8" spans="1:12">
      <c r="A8" t="s">
        <v>88</v>
      </c>
      <c r="E8" s="69">
        <v>0.20699999999999999</v>
      </c>
      <c r="F8" s="63">
        <v>0.20699999999999999</v>
      </c>
      <c r="G8" s="65">
        <v>0.20599999999999999</v>
      </c>
    </row>
    <row r="9" spans="1:12">
      <c r="A9" t="s">
        <v>89</v>
      </c>
      <c r="E9" s="62">
        <v>2.5000000000000001E-2</v>
      </c>
      <c r="F9" s="63">
        <v>2.5000000000000001E-2</v>
      </c>
      <c r="G9" s="64">
        <v>2.5000000000000001E-2</v>
      </c>
    </row>
    <row r="10" spans="1:12">
      <c r="A10" t="s">
        <v>90</v>
      </c>
      <c r="E10" s="58">
        <v>4.0000000000000001E-3</v>
      </c>
      <c r="F10" s="59">
        <v>4.0000000000000001E-3</v>
      </c>
      <c r="G10" s="60">
        <v>4.0000000000000001E-3</v>
      </c>
      <c r="H10" s="61"/>
    </row>
    <row r="11" spans="1:12">
      <c r="A11" t="s">
        <v>91</v>
      </c>
      <c r="E11" s="55">
        <v>95</v>
      </c>
      <c r="F11" s="56">
        <v>95</v>
      </c>
      <c r="G11" s="57">
        <v>95</v>
      </c>
    </row>
    <row r="12" spans="1:12">
      <c r="A12" t="s">
        <v>75</v>
      </c>
      <c r="E12" s="53">
        <v>0.23</v>
      </c>
      <c r="F12" s="54">
        <v>0.23</v>
      </c>
      <c r="G12" s="52">
        <v>0.23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995C-8015-420B-A99A-37D21E3EDF2C}">
  <dimension ref="A1:K81"/>
  <sheetViews>
    <sheetView workbookViewId="0">
      <selection activeCell="A2" sqref="A2"/>
    </sheetView>
  </sheetViews>
  <sheetFormatPr defaultRowHeight="15"/>
  <cols>
    <col min="1" max="1" width="50.42578125" bestFit="1" customWidth="1"/>
    <col min="2" max="4" width="9" bestFit="1" customWidth="1"/>
    <col min="5" max="7" width="8.7109375" bestFit="1" customWidth="1"/>
  </cols>
  <sheetData>
    <row r="1" spans="1:11" ht="20.25">
      <c r="A1" s="51" t="s">
        <v>119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83" t="s">
        <v>68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>
      <c r="A4" s="46" t="s">
        <v>2</v>
      </c>
      <c r="B4" s="16" t="str">
        <f>Historical!B4</f>
        <v>FY2023</v>
      </c>
      <c r="C4" s="16" t="str">
        <f>Historical!C4</f>
        <v>FY2024</v>
      </c>
      <c r="D4" s="16" t="str">
        <f>Historical!D4</f>
        <v>FY2025</v>
      </c>
      <c r="E4" s="26" t="str">
        <f>Assumptions!E4</f>
        <v>FY2026F</v>
      </c>
      <c r="F4" s="26" t="str">
        <f>Assumptions!F4</f>
        <v>FY2027F</v>
      </c>
      <c r="G4" s="26" t="str">
        <f>Assumptions!G4</f>
        <v>FY2028F</v>
      </c>
    </row>
    <row r="5" spans="1:11">
      <c r="A5" s="4"/>
    </row>
    <row r="6" spans="1:11" ht="15.75">
      <c r="A6" s="32" t="s">
        <v>6</v>
      </c>
      <c r="B6" s="25"/>
      <c r="C6" s="25"/>
      <c r="D6" s="25"/>
      <c r="E6" s="25"/>
      <c r="F6" s="25"/>
      <c r="G6" s="25"/>
    </row>
    <row r="7" spans="1:11">
      <c r="A7" s="18" t="s">
        <v>7</v>
      </c>
      <c r="B7" s="27">
        <f>Historical!B7</f>
        <v>107412</v>
      </c>
      <c r="C7" s="27">
        <f>Historical!C7</f>
        <v>106566</v>
      </c>
      <c r="D7" s="27">
        <f>Historical!D7</f>
        <v>104780</v>
      </c>
      <c r="E7" s="18">
        <f>Schedules!E6</f>
        <v>110019</v>
      </c>
      <c r="F7" s="18">
        <f>Schedules!F6</f>
        <v>113319.57</v>
      </c>
      <c r="G7" s="18">
        <f>Schedules!G6</f>
        <v>116719.15710000001</v>
      </c>
    </row>
    <row r="8" spans="1:11">
      <c r="A8" s="18" t="s">
        <v>8</v>
      </c>
      <c r="B8" s="27">
        <f>Historical!B8</f>
        <v>77828</v>
      </c>
      <c r="C8" s="27">
        <f>Historical!C8</f>
        <v>76502</v>
      </c>
      <c r="D8" s="27">
        <f>Historical!D8</f>
        <v>75511</v>
      </c>
      <c r="E8" s="18">
        <f>E7*(1-Schedules!E8)</f>
        <v>77893.45199999999</v>
      </c>
      <c r="F8" s="18">
        <f>F7*(1-Schedules!F8)</f>
        <v>81023.49255000001</v>
      </c>
      <c r="G8" s="18">
        <f>G7*(1-Schedules!G8)</f>
        <v>83220.759012300012</v>
      </c>
    </row>
    <row r="9" spans="1:11">
      <c r="A9" s="18" t="s">
        <v>9</v>
      </c>
      <c r="B9" s="27">
        <f>Historical!B9</f>
        <v>21462</v>
      </c>
      <c r="C9" s="27">
        <f>Historical!C9</f>
        <v>21969</v>
      </c>
      <c r="D9" s="27">
        <f>Historical!D9</f>
        <v>21535</v>
      </c>
      <c r="E9" s="18">
        <f>E7*Schedules!E9</f>
        <v>22773.932999999997</v>
      </c>
      <c r="F9" s="18">
        <f>F7*Schedules!F9</f>
        <v>23457.150990000002</v>
      </c>
      <c r="G9" s="18">
        <f>G7*Schedules!G9</f>
        <v>24044.1463626</v>
      </c>
    </row>
    <row r="10" spans="1:11">
      <c r="A10" s="18" t="s">
        <v>10</v>
      </c>
      <c r="B10" s="27">
        <f>Historical!B10</f>
        <v>2415</v>
      </c>
      <c r="C10" s="27">
        <f>Historical!C10</f>
        <v>2529</v>
      </c>
      <c r="D10" s="27">
        <f>Historical!D10</f>
        <v>2617</v>
      </c>
      <c r="E10" s="18">
        <f>E7*Schedules!E12</f>
        <v>2750.4750000000004</v>
      </c>
      <c r="F10" s="18">
        <f>F7*Schedules!F12</f>
        <v>2832.9892500000005</v>
      </c>
      <c r="G10" s="18">
        <f>G7*Schedules!G12</f>
        <v>2917.9789275000003</v>
      </c>
    </row>
    <row r="11" spans="1:11">
      <c r="A11" s="47" t="s">
        <v>11</v>
      </c>
      <c r="B11" s="48">
        <f>B7-B8-B9-B10</f>
        <v>5707</v>
      </c>
      <c r="C11" s="48">
        <f t="shared" ref="C11:D11" si="0">C7-C8-C9-C10</f>
        <v>5566</v>
      </c>
      <c r="D11" s="48">
        <f t="shared" si="0"/>
        <v>5117</v>
      </c>
      <c r="E11" s="47">
        <f>E7-E8-E9-E10</f>
        <v>6601.1400000000122</v>
      </c>
      <c r="F11" s="47">
        <f t="shared" ref="F11:G11" si="1">F7-F8-F9-F10</f>
        <v>6005.9372099999946</v>
      </c>
      <c r="G11" s="47">
        <f t="shared" si="1"/>
        <v>6536.2727975999987</v>
      </c>
    </row>
    <row r="12" spans="1:11">
      <c r="A12" s="18" t="s">
        <v>12</v>
      </c>
      <c r="B12" s="27">
        <f>Historical!B12</f>
        <v>502</v>
      </c>
      <c r="C12" s="27">
        <f>Historical!C12</f>
        <v>411</v>
      </c>
      <c r="D12" s="27">
        <f>Historical!D12</f>
        <v>445</v>
      </c>
      <c r="E12" s="18">
        <f>E7*Assumptions!E10</f>
        <v>440.07600000000002</v>
      </c>
      <c r="F12" s="18">
        <f>F7*Assumptions!F10</f>
        <v>453.27828000000005</v>
      </c>
      <c r="G12" s="18">
        <f>G7*Assumptions!G10</f>
        <v>466.87662840000007</v>
      </c>
    </row>
    <row r="13" spans="1:11">
      <c r="A13" s="18" t="s">
        <v>13</v>
      </c>
      <c r="B13" s="27">
        <f>Historical!B13</f>
        <v>92</v>
      </c>
      <c r="C13" s="27">
        <f>Historical!C13</f>
        <v>106</v>
      </c>
      <c r="D13" s="27">
        <f>Historical!D13</f>
        <v>95</v>
      </c>
      <c r="E13" s="18">
        <f>Assumptions!E11</f>
        <v>95</v>
      </c>
      <c r="F13" s="18">
        <f>Assumptions!F11</f>
        <v>95</v>
      </c>
      <c r="G13" s="18">
        <f>Assumptions!G11</f>
        <v>95</v>
      </c>
    </row>
    <row r="14" spans="1:11">
      <c r="A14" s="18" t="s">
        <v>14</v>
      </c>
      <c r="B14" s="27">
        <f>B11-B12+B13</f>
        <v>5297</v>
      </c>
      <c r="C14" s="27">
        <f t="shared" ref="C14:D14" si="2">C11-C12+C13</f>
        <v>5261</v>
      </c>
      <c r="D14" s="27">
        <f t="shared" si="2"/>
        <v>4767</v>
      </c>
      <c r="E14" s="18">
        <f>E11-E12+E13</f>
        <v>6256.0640000000121</v>
      </c>
      <c r="F14" s="18">
        <f t="shared" ref="F14:G14" si="3">F11-F12+F13</f>
        <v>5647.6589299999941</v>
      </c>
      <c r="G14" s="18">
        <f t="shared" si="3"/>
        <v>6164.3961691999984</v>
      </c>
    </row>
    <row r="15" spans="1:11">
      <c r="A15" s="18" t="s">
        <v>15</v>
      </c>
      <c r="B15" s="27">
        <f>Historical!B15</f>
        <v>1159</v>
      </c>
      <c r="C15" s="27">
        <f>Historical!C15</f>
        <v>1170</v>
      </c>
      <c r="D15" s="27">
        <f>Historical!D15</f>
        <v>1062</v>
      </c>
      <c r="E15" s="18">
        <f>E14*Schedules!E11</f>
        <v>1438.894720000003</v>
      </c>
      <c r="F15" s="18">
        <f>F14*Schedules!F11</f>
        <v>1298.9615538999988</v>
      </c>
      <c r="G15" s="18">
        <f>G14*Schedules!G11</f>
        <v>1417.8111189159997</v>
      </c>
    </row>
    <row r="16" spans="1:11">
      <c r="A16" s="47" t="s">
        <v>16</v>
      </c>
      <c r="B16" s="48">
        <f>B14-B15</f>
        <v>4138</v>
      </c>
      <c r="C16" s="48">
        <f t="shared" ref="C16:D16" si="4">C14-C15</f>
        <v>4091</v>
      </c>
      <c r="D16" s="48">
        <f t="shared" si="4"/>
        <v>3705</v>
      </c>
      <c r="E16" s="47">
        <f>E14-E15</f>
        <v>4817.1692800000092</v>
      </c>
      <c r="F16" s="47">
        <f t="shared" ref="F16:G16" si="5">F14-F15</f>
        <v>4348.6973760999954</v>
      </c>
      <c r="G16" s="47">
        <f t="shared" si="5"/>
        <v>4746.5850502839985</v>
      </c>
    </row>
    <row r="17" spans="1:7">
      <c r="B17" s="6"/>
      <c r="C17" s="6"/>
      <c r="D17" s="6"/>
    </row>
    <row r="18" spans="1:7">
      <c r="B18" s="6"/>
      <c r="C18" s="6"/>
      <c r="D18" s="6"/>
    </row>
    <row r="19" spans="1:7" ht="15.75">
      <c r="A19" s="31" t="s">
        <v>17</v>
      </c>
      <c r="B19" s="30"/>
      <c r="C19" s="30"/>
      <c r="D19" s="30"/>
      <c r="E19" s="17"/>
      <c r="F19" s="17"/>
      <c r="G19" s="17"/>
    </row>
    <row r="20" spans="1:7">
      <c r="A20" s="28" t="s">
        <v>18</v>
      </c>
      <c r="B20" s="6"/>
      <c r="C20" s="6"/>
      <c r="D20" s="6"/>
    </row>
    <row r="21" spans="1:7">
      <c r="A21" t="s">
        <v>19</v>
      </c>
      <c r="B21" s="5">
        <f>Historical!B21</f>
        <v>3805</v>
      </c>
      <c r="C21" s="5">
        <f>Historical!C21</f>
        <v>4762</v>
      </c>
      <c r="D21" s="5">
        <f>Historical!D21</f>
        <v>5488</v>
      </c>
      <c r="E21" s="10">
        <f>E78</f>
        <v>8133.8025166940006</v>
      </c>
      <c r="F21" s="10">
        <f t="shared" ref="F21:G21" si="6">F78</f>
        <v>10216.69945435324</v>
      </c>
      <c r="G21" s="10">
        <f t="shared" si="6"/>
        <v>12678.34640818707</v>
      </c>
    </row>
    <row r="22" spans="1:7">
      <c r="A22" t="s">
        <v>20</v>
      </c>
      <c r="B22" s="5">
        <f>Historical!B22</f>
        <v>11886</v>
      </c>
      <c r="C22" s="5">
        <f>Historical!C22</f>
        <v>12740</v>
      </c>
      <c r="D22" s="5">
        <f>Historical!D22</f>
        <v>12304</v>
      </c>
      <c r="E22" s="10">
        <f>E8*Schedules!E14</f>
        <v>12692.20422730463</v>
      </c>
      <c r="F22" s="10">
        <f>F8*Schedules!F14</f>
        <v>13202.222885873583</v>
      </c>
      <c r="G22" s="10">
        <f>G8*Schedules!G14</f>
        <v>13560.252398820561</v>
      </c>
    </row>
    <row r="23" spans="1:7">
      <c r="A23" t="s">
        <v>21</v>
      </c>
      <c r="B23" s="5">
        <f>Historical!B23</f>
        <v>1807</v>
      </c>
      <c r="C23" s="5">
        <f>Historical!C23</f>
        <v>1952</v>
      </c>
      <c r="D23" s="5">
        <f>Historical!D23</f>
        <v>2213</v>
      </c>
      <c r="E23" s="5">
        <f>E7*Schedules!E16</f>
        <v>2323.6499999999996</v>
      </c>
      <c r="F23" s="5">
        <f>F7*Schedules!F16</f>
        <v>2393.3595</v>
      </c>
      <c r="G23" s="5">
        <f>G7*Schedules!G16</f>
        <v>2465.1602849999999</v>
      </c>
    </row>
    <row r="24" spans="1:7" s="28" customFormat="1">
      <c r="A24" s="28" t="s">
        <v>22</v>
      </c>
      <c r="B24" s="49">
        <f>SUM(B21:B23)</f>
        <v>17498</v>
      </c>
      <c r="C24" s="49">
        <f t="shared" ref="C24:D24" si="7">SUM(C21:C23)</f>
        <v>19454</v>
      </c>
      <c r="D24" s="49">
        <f t="shared" si="7"/>
        <v>20005</v>
      </c>
      <c r="E24" s="50">
        <f>SUM(E21:E23)</f>
        <v>23149.656743998632</v>
      </c>
      <c r="F24" s="50">
        <f t="shared" ref="F24:G24" si="8">SUM(F21:F23)</f>
        <v>25812.281840226824</v>
      </c>
      <c r="G24" s="50">
        <f t="shared" si="8"/>
        <v>28703.759092007633</v>
      </c>
    </row>
    <row r="25" spans="1:7">
      <c r="A25" t="s">
        <v>23</v>
      </c>
      <c r="B25" s="5">
        <f>Historical!B25</f>
        <v>33096</v>
      </c>
      <c r="C25" s="5">
        <f>Historical!C25</f>
        <v>33022</v>
      </c>
      <c r="D25" s="5">
        <f>Historical!D25</f>
        <v>33749</v>
      </c>
      <c r="E25" s="10">
        <f>D25-E64-E53</f>
        <v>34371.65</v>
      </c>
      <c r="F25" s="10">
        <f t="shared" ref="F25:G25" si="9">E25-F64-F53</f>
        <v>35012.979500000001</v>
      </c>
      <c r="G25" s="10">
        <f t="shared" si="9"/>
        <v>35673.548885000004</v>
      </c>
    </row>
    <row r="26" spans="1:7">
      <c r="A26" t="s">
        <v>24</v>
      </c>
      <c r="B26" s="5">
        <f>Historical!B26</f>
        <v>3362</v>
      </c>
      <c r="C26" s="5">
        <f>Historical!C26</f>
        <v>3763</v>
      </c>
      <c r="D26" s="5">
        <f>Historical!D26</f>
        <v>3703</v>
      </c>
      <c r="E26" s="10">
        <f>D26</f>
        <v>3703</v>
      </c>
      <c r="F26" s="10">
        <f t="shared" ref="F26:G26" si="10">E26</f>
        <v>3703</v>
      </c>
      <c r="G26" s="10">
        <f t="shared" si="10"/>
        <v>3703</v>
      </c>
    </row>
    <row r="27" spans="1:7">
      <c r="A27" t="s">
        <v>25</v>
      </c>
      <c r="B27" s="5">
        <f>Historical!B27</f>
        <v>1400</v>
      </c>
      <c r="C27" s="5">
        <f>Historical!C27</f>
        <v>1530</v>
      </c>
      <c r="D27" s="5">
        <f>Historical!D27</f>
        <v>2033</v>
      </c>
      <c r="E27" s="10">
        <f>D27</f>
        <v>2033</v>
      </c>
      <c r="F27" s="10">
        <f t="shared" ref="F27:G27" si="11">E27</f>
        <v>2033</v>
      </c>
      <c r="G27" s="10">
        <f t="shared" si="11"/>
        <v>2033</v>
      </c>
    </row>
    <row r="28" spans="1:7" s="28" customFormat="1">
      <c r="A28" s="28" t="s">
        <v>26</v>
      </c>
      <c r="B28" s="49">
        <f>SUM(B24:B27)</f>
        <v>55356</v>
      </c>
      <c r="C28" s="49">
        <f t="shared" ref="C28:D28" si="12">SUM(C24:C27)</f>
        <v>57769</v>
      </c>
      <c r="D28" s="49">
        <f t="shared" si="12"/>
        <v>59490</v>
      </c>
      <c r="E28" s="50">
        <f>SUM(E24:E27)</f>
        <v>63257.306743998633</v>
      </c>
      <c r="F28" s="50">
        <f t="shared" ref="F28:G28" si="13">SUM(F24:F27)</f>
        <v>66561.261340226833</v>
      </c>
      <c r="G28" s="50">
        <f t="shared" si="13"/>
        <v>70113.307977007644</v>
      </c>
    </row>
    <row r="29" spans="1:7">
      <c r="B29" s="6"/>
      <c r="C29" s="6"/>
      <c r="D29" s="6"/>
    </row>
    <row r="30" spans="1:7">
      <c r="A30" s="37" t="s">
        <v>27</v>
      </c>
      <c r="B30" s="38"/>
      <c r="C30" s="38"/>
      <c r="D30" s="38"/>
      <c r="E30" s="39"/>
      <c r="F30" s="39"/>
      <c r="G30" s="39"/>
    </row>
    <row r="31" spans="1:7">
      <c r="A31" t="s">
        <v>28</v>
      </c>
      <c r="B31" s="5">
        <f>Historical!B31</f>
        <v>12098</v>
      </c>
      <c r="C31" s="5">
        <f>Historical!C31</f>
        <v>13053</v>
      </c>
      <c r="D31" s="5">
        <f>Historical!D31</f>
        <v>12622</v>
      </c>
      <c r="E31" s="5">
        <f>E8*Schedules!E15</f>
        <v>13020.237463998621</v>
      </c>
      <c r="F31" s="5">
        <f>F8*Schedules!F15</f>
        <v>13543.437684126819</v>
      </c>
      <c r="G31" s="5">
        <f>G8*Schedules!G15</f>
        <v>13910.720560623628</v>
      </c>
    </row>
    <row r="32" spans="1:7">
      <c r="A32" t="s">
        <v>29</v>
      </c>
      <c r="B32" s="5">
        <f>Historical!B32</f>
        <v>6090</v>
      </c>
      <c r="C32" s="5">
        <f>Historical!C32</f>
        <v>6110</v>
      </c>
      <c r="D32" s="5">
        <f>Historical!D32</f>
        <v>6478</v>
      </c>
      <c r="E32" s="5">
        <f>E7*Schedules!E17</f>
        <v>6801.9</v>
      </c>
      <c r="F32" s="5">
        <f>F7*Schedules!F17</f>
        <v>7005.9570000000003</v>
      </c>
      <c r="G32" s="5">
        <f>G7*Schedules!G17</f>
        <v>7216.1357100000005</v>
      </c>
    </row>
    <row r="33" spans="1:7">
      <c r="A33" t="s">
        <v>30</v>
      </c>
      <c r="B33" s="5">
        <f>Historical!B33</f>
        <v>1116</v>
      </c>
      <c r="C33" s="5">
        <f>Historical!C33</f>
        <v>1636</v>
      </c>
      <c r="D33" s="5">
        <f>Historical!D33</f>
        <v>2130</v>
      </c>
      <c r="E33" s="10">
        <f>D33</f>
        <v>2130</v>
      </c>
      <c r="F33" s="10">
        <f t="shared" ref="F33:G33" si="14">E33</f>
        <v>2130</v>
      </c>
      <c r="G33" s="10">
        <f t="shared" si="14"/>
        <v>2130</v>
      </c>
    </row>
    <row r="34" spans="1:7" s="28" customFormat="1">
      <c r="A34" s="28" t="s">
        <v>31</v>
      </c>
      <c r="B34" s="49">
        <f>SUM(B31:B33)</f>
        <v>19304</v>
      </c>
      <c r="C34" s="49">
        <f t="shared" ref="C34:D34" si="15">SUM(C31:C33)</f>
        <v>20799</v>
      </c>
      <c r="D34" s="49">
        <f t="shared" si="15"/>
        <v>21230</v>
      </c>
      <c r="E34" s="50">
        <f>SUM(E31:E33)</f>
        <v>21952.137463998621</v>
      </c>
      <c r="F34" s="50">
        <f t="shared" ref="F34:G34" si="16">SUM(F31:F33)</f>
        <v>22679.394684126819</v>
      </c>
      <c r="G34" s="50">
        <f t="shared" si="16"/>
        <v>23256.856270623626</v>
      </c>
    </row>
    <row r="35" spans="1:7">
      <c r="A35" t="s">
        <v>32</v>
      </c>
      <c r="B35" s="5">
        <f>Historical!B35</f>
        <v>14922</v>
      </c>
      <c r="C35" s="5">
        <f>Historical!C35</f>
        <v>14304</v>
      </c>
      <c r="D35" s="5">
        <f>Historical!D35</f>
        <v>14326</v>
      </c>
      <c r="E35" s="10">
        <f>D35</f>
        <v>14326</v>
      </c>
      <c r="F35" s="10">
        <f t="shared" ref="F35:G35" si="17">E35</f>
        <v>14326</v>
      </c>
      <c r="G35" s="10">
        <f t="shared" si="17"/>
        <v>14326</v>
      </c>
    </row>
    <row r="36" spans="1:7">
      <c r="A36" t="s">
        <v>33</v>
      </c>
      <c r="B36" s="5">
        <f>Historical!B36</f>
        <v>3279</v>
      </c>
      <c r="C36" s="5">
        <f>Historical!C36</f>
        <v>3582</v>
      </c>
      <c r="D36" s="5">
        <f>Historical!D36</f>
        <v>3462</v>
      </c>
      <c r="E36" s="10">
        <f>D36</f>
        <v>3462</v>
      </c>
      <c r="F36" s="10">
        <f t="shared" ref="F36:G36" si="18">E36</f>
        <v>3462</v>
      </c>
      <c r="G36" s="10">
        <f t="shared" si="18"/>
        <v>3462</v>
      </c>
    </row>
    <row r="37" spans="1:7">
      <c r="A37" t="s">
        <v>34</v>
      </c>
      <c r="B37" s="5">
        <f>Historical!B37</f>
        <v>2480</v>
      </c>
      <c r="C37" s="5">
        <f>Historical!C37</f>
        <v>2303</v>
      </c>
      <c r="D37" s="5">
        <f>Historical!D37</f>
        <v>2265</v>
      </c>
      <c r="E37" s="10">
        <f>D37</f>
        <v>2265</v>
      </c>
      <c r="F37" s="10">
        <f t="shared" ref="F37:G37" si="19">E37</f>
        <v>2265</v>
      </c>
      <c r="G37" s="10">
        <f t="shared" si="19"/>
        <v>2265</v>
      </c>
    </row>
    <row r="38" spans="1:7">
      <c r="A38" t="s">
        <v>35</v>
      </c>
      <c r="B38" s="5">
        <f>Historical!B38</f>
        <v>1939</v>
      </c>
      <c r="C38" s="5">
        <f>Historical!C38</f>
        <v>2115</v>
      </c>
      <c r="D38" s="5">
        <f>Historical!D38</f>
        <v>2042</v>
      </c>
      <c r="E38" s="10">
        <f>D38</f>
        <v>2042</v>
      </c>
      <c r="F38" s="10">
        <f t="shared" ref="F38:G38" si="20">E38</f>
        <v>2042</v>
      </c>
      <c r="G38" s="10">
        <f t="shared" si="20"/>
        <v>2042</v>
      </c>
    </row>
    <row r="39" spans="1:7" s="28" customFormat="1">
      <c r="A39" s="28" t="s">
        <v>36</v>
      </c>
      <c r="B39" s="49">
        <f>SUM(B35:B38)</f>
        <v>22620</v>
      </c>
      <c r="C39" s="49">
        <f t="shared" ref="C39:D39" si="21">SUM(C35:C38)</f>
        <v>22304</v>
      </c>
      <c r="D39" s="49">
        <f t="shared" si="21"/>
        <v>22095</v>
      </c>
      <c r="E39" s="50">
        <f>SUM(E35:E38)</f>
        <v>22095</v>
      </c>
      <c r="F39" s="50">
        <f t="shared" ref="F39:G39" si="22">SUM(F35:F38)</f>
        <v>22095</v>
      </c>
      <c r="G39" s="50">
        <f t="shared" si="22"/>
        <v>22095</v>
      </c>
    </row>
    <row r="40" spans="1:7">
      <c r="B40" s="6"/>
      <c r="C40" s="6"/>
      <c r="D40" s="6"/>
    </row>
    <row r="41" spans="1:7">
      <c r="A41" s="37" t="s">
        <v>37</v>
      </c>
      <c r="B41" s="40"/>
      <c r="C41" s="40"/>
      <c r="D41" s="40"/>
      <c r="E41" s="39"/>
      <c r="F41" s="39"/>
      <c r="G41" s="39"/>
    </row>
    <row r="42" spans="1:7">
      <c r="A42" t="s">
        <v>38</v>
      </c>
      <c r="B42" s="5">
        <f>Historical!B42</f>
        <v>38</v>
      </c>
      <c r="C42" s="5">
        <f>Historical!C42</f>
        <v>38</v>
      </c>
      <c r="D42" s="5">
        <f>Historical!D42</f>
        <v>38</v>
      </c>
      <c r="E42" s="10">
        <f>D42</f>
        <v>38</v>
      </c>
      <c r="F42" s="10">
        <f t="shared" ref="F42:G42" si="23">E42</f>
        <v>38</v>
      </c>
      <c r="G42" s="10">
        <f t="shared" si="23"/>
        <v>38</v>
      </c>
    </row>
    <row r="43" spans="1:7">
      <c r="A43" t="s">
        <v>39</v>
      </c>
      <c r="B43" s="5">
        <f>Historical!B43</f>
        <v>6761</v>
      </c>
      <c r="C43" s="5">
        <f>Historical!C43</f>
        <v>6996</v>
      </c>
      <c r="D43" s="5">
        <f>Historical!D43</f>
        <v>7247</v>
      </c>
      <c r="E43" s="10">
        <f>D43+E54</f>
        <v>7528</v>
      </c>
      <c r="F43" s="10">
        <f t="shared" ref="F43:G43" si="24">E43+F54</f>
        <v>7809</v>
      </c>
      <c r="G43" s="10">
        <f t="shared" si="24"/>
        <v>8090</v>
      </c>
    </row>
    <row r="44" spans="1:7">
      <c r="A44" t="s">
        <v>40</v>
      </c>
      <c r="B44" s="5">
        <f>Historical!B44</f>
        <v>7093</v>
      </c>
      <c r="C44" s="5">
        <f>Historical!C44</f>
        <v>8090</v>
      </c>
      <c r="D44" s="5">
        <f>Historical!D44</f>
        <v>9297</v>
      </c>
      <c r="E44" s="10">
        <f>D44+E16+E71</f>
        <v>12061.169280000009</v>
      </c>
      <c r="F44" s="10">
        <f t="shared" ref="F44:G44" si="25">E44+F16+F71</f>
        <v>14356.866656100006</v>
      </c>
      <c r="G44" s="10">
        <f t="shared" si="25"/>
        <v>17050.451706384003</v>
      </c>
    </row>
    <row r="45" spans="1:7">
      <c r="A45" t="s">
        <v>41</v>
      </c>
      <c r="B45" s="5">
        <f>Historical!B45</f>
        <v>-460</v>
      </c>
      <c r="C45" s="5">
        <f>Historical!C45</f>
        <v>-458</v>
      </c>
      <c r="D45" s="5">
        <f>Historical!D45</f>
        <v>-417</v>
      </c>
      <c r="E45" s="10">
        <f>D45</f>
        <v>-417</v>
      </c>
      <c r="F45" s="10">
        <f t="shared" ref="F45:G45" si="26">E45</f>
        <v>-417</v>
      </c>
      <c r="G45" s="10">
        <f t="shared" si="26"/>
        <v>-417</v>
      </c>
    </row>
    <row r="46" spans="1:7" s="28" customFormat="1">
      <c r="A46" s="28" t="s">
        <v>42</v>
      </c>
      <c r="B46" s="49">
        <f>SUM(B42:B45)</f>
        <v>13432</v>
      </c>
      <c r="C46" s="49">
        <f t="shared" ref="C46:D46" si="27">SUM(C42:C45)</f>
        <v>14666</v>
      </c>
      <c r="D46" s="49">
        <f t="shared" si="27"/>
        <v>16165</v>
      </c>
      <c r="E46" s="50">
        <f>SUM(E42:E45)</f>
        <v>19210.169280000009</v>
      </c>
      <c r="F46" s="50">
        <f t="shared" ref="F46:G46" si="28">SUM(F42:F45)</f>
        <v>21786.866656100006</v>
      </c>
      <c r="G46" s="50">
        <f t="shared" si="28"/>
        <v>24761.451706384003</v>
      </c>
    </row>
    <row r="47" spans="1:7" s="28" customFormat="1">
      <c r="A47" s="28" t="s">
        <v>43</v>
      </c>
      <c r="B47" s="49">
        <f>B34+B39+B46</f>
        <v>55356</v>
      </c>
      <c r="C47" s="49">
        <f t="shared" ref="C47:D47" si="29">C34+C39+C46</f>
        <v>57769</v>
      </c>
      <c r="D47" s="49">
        <f t="shared" si="29"/>
        <v>59490</v>
      </c>
      <c r="E47" s="50">
        <f>E34+E39+E46</f>
        <v>63257.306743998626</v>
      </c>
      <c r="F47" s="50">
        <f t="shared" ref="F47:G47" si="30">F34+F39+F46</f>
        <v>66561.261340226833</v>
      </c>
      <c r="G47" s="50">
        <f t="shared" si="30"/>
        <v>70113.307977007629</v>
      </c>
    </row>
    <row r="48" spans="1:7">
      <c r="B48" s="6"/>
      <c r="C48" s="6"/>
      <c r="D48" s="6"/>
    </row>
    <row r="49" spans="1:7">
      <c r="B49" s="6"/>
      <c r="C49" s="6"/>
      <c r="D49" s="6"/>
    </row>
    <row r="50" spans="1:7" ht="15.75">
      <c r="A50" s="35" t="s">
        <v>44</v>
      </c>
      <c r="B50" s="36"/>
      <c r="C50" s="36"/>
      <c r="D50" s="36"/>
      <c r="E50" s="31"/>
      <c r="F50" s="31"/>
      <c r="G50" s="31"/>
    </row>
    <row r="51" spans="1:7">
      <c r="A51" s="22" t="s">
        <v>45</v>
      </c>
      <c r="B51" s="6"/>
      <c r="C51" s="6"/>
      <c r="D51" s="6"/>
    </row>
    <row r="52" spans="1:7">
      <c r="A52" s="4" t="s">
        <v>16</v>
      </c>
      <c r="B52" s="5">
        <f>B16</f>
        <v>4138</v>
      </c>
      <c r="C52" s="5">
        <f t="shared" ref="C52:D52" si="31">C16</f>
        <v>4091</v>
      </c>
      <c r="D52" s="5">
        <f t="shared" si="31"/>
        <v>3705</v>
      </c>
      <c r="E52" s="10">
        <f>E16</f>
        <v>4817.1692800000092</v>
      </c>
      <c r="F52" s="10">
        <f t="shared" ref="F52:G52" si="32">F16</f>
        <v>4348.6973760999954</v>
      </c>
      <c r="G52" s="10">
        <f t="shared" si="32"/>
        <v>4746.5850502839985</v>
      </c>
    </row>
    <row r="53" spans="1:7">
      <c r="A53" s="4" t="s">
        <v>46</v>
      </c>
      <c r="B53" s="5">
        <f>Historical!B53</f>
        <v>2801</v>
      </c>
      <c r="C53" s="5">
        <f>Historical!C53</f>
        <v>2981</v>
      </c>
      <c r="D53" s="5">
        <f>Historical!D53</f>
        <v>3134</v>
      </c>
      <c r="E53" s="5">
        <f>E7*Schedules!E18</f>
        <v>3290.7</v>
      </c>
      <c r="F53" s="5">
        <f>F7*Schedules!F18</f>
        <v>3389.4210000000003</v>
      </c>
      <c r="G53" s="5">
        <f>G7*Schedules!G18</f>
        <v>3491.1036300000005</v>
      </c>
    </row>
    <row r="54" spans="1:7">
      <c r="A54" s="4" t="s">
        <v>47</v>
      </c>
      <c r="B54" s="5">
        <f>Historical!B54</f>
        <v>251</v>
      </c>
      <c r="C54" s="5">
        <f>Historical!C54</f>
        <v>304</v>
      </c>
      <c r="D54" s="5">
        <f>Historical!D54</f>
        <v>281</v>
      </c>
      <c r="E54" s="10">
        <f>D54</f>
        <v>281</v>
      </c>
      <c r="F54" s="10">
        <f t="shared" ref="F54:G54" si="33">E54</f>
        <v>281</v>
      </c>
      <c r="G54" s="10">
        <f t="shared" si="33"/>
        <v>281</v>
      </c>
    </row>
    <row r="55" spans="1:7">
      <c r="A55" s="4" t="s">
        <v>34</v>
      </c>
      <c r="B55" s="5">
        <f>Historical!B55</f>
        <v>298</v>
      </c>
      <c r="C55" s="5">
        <f>Historical!C55</f>
        <v>-180</v>
      </c>
      <c r="D55" s="5">
        <f>Historical!D55</f>
        <v>-55</v>
      </c>
      <c r="E55" s="10">
        <f>E37-D37</f>
        <v>0</v>
      </c>
      <c r="F55" s="10">
        <f t="shared" ref="F55:G55" si="34">F37-E37</f>
        <v>0</v>
      </c>
      <c r="G55" s="10">
        <f t="shared" si="34"/>
        <v>0</v>
      </c>
    </row>
    <row r="56" spans="1:7">
      <c r="A56" s="4" t="s">
        <v>48</v>
      </c>
      <c r="B56" s="5">
        <f>Historical!B56</f>
        <v>94</v>
      </c>
      <c r="C56" s="5">
        <f>Historical!C56</f>
        <v>26</v>
      </c>
      <c r="D56" s="5">
        <f>Historical!D56</f>
        <v>-100</v>
      </c>
      <c r="E56" s="1">
        <f>0</f>
        <v>0</v>
      </c>
      <c r="F56" s="1">
        <f>0</f>
        <v>0</v>
      </c>
      <c r="G56" s="1">
        <f>0</f>
        <v>0</v>
      </c>
    </row>
    <row r="57" spans="1:7">
      <c r="A57" s="4" t="s">
        <v>49</v>
      </c>
      <c r="B57" s="5">
        <f>Historical!B57</f>
        <v>1613</v>
      </c>
      <c r="C57" s="5">
        <f>Historical!C57</f>
        <v>-854</v>
      </c>
      <c r="D57" s="5">
        <f>Historical!D57</f>
        <v>436</v>
      </c>
      <c r="E57" s="10">
        <f>D22-E22</f>
        <v>-388.20422730462997</v>
      </c>
      <c r="F57" s="10">
        <f t="shared" ref="F57:G57" si="35">E22-F22</f>
        <v>-510.01865856895347</v>
      </c>
      <c r="G57" s="10">
        <f t="shared" si="35"/>
        <v>-358.02951294697777</v>
      </c>
    </row>
    <row r="58" spans="1:7">
      <c r="A58" s="4" t="s">
        <v>50</v>
      </c>
      <c r="B58" s="5">
        <f>Historical!B58</f>
        <v>-85</v>
      </c>
      <c r="C58" s="5">
        <f>Historical!C58</f>
        <v>-308</v>
      </c>
      <c r="D58" s="5">
        <f>Historical!D58</f>
        <v>-494</v>
      </c>
      <c r="E58" s="10">
        <f>D23-E23</f>
        <v>-110.64999999999964</v>
      </c>
      <c r="F58" s="10">
        <f t="shared" ref="F58:G58" si="36">E23-F23</f>
        <v>-69.709500000000389</v>
      </c>
      <c r="G58" s="10">
        <f t="shared" si="36"/>
        <v>-71.800784999999905</v>
      </c>
    </row>
    <row r="59" spans="1:7">
      <c r="A59" s="4" t="s">
        <v>51</v>
      </c>
      <c r="B59" s="5">
        <f>Historical!B59</f>
        <v>-1216</v>
      </c>
      <c r="C59" s="5">
        <f>Historical!C59</f>
        <v>1008</v>
      </c>
      <c r="D59" s="5">
        <f>Historical!D59</f>
        <v>-501</v>
      </c>
      <c r="E59" s="10">
        <f>E31-D31</f>
        <v>398.23746399862102</v>
      </c>
      <c r="F59" s="10">
        <f t="shared" ref="F59:G59" si="37">F31-E31</f>
        <v>523.20022012819754</v>
      </c>
      <c r="G59" s="10">
        <f t="shared" si="37"/>
        <v>367.28287649680897</v>
      </c>
    </row>
    <row r="60" spans="1:7">
      <c r="A60" s="4" t="s">
        <v>52</v>
      </c>
      <c r="B60" s="5">
        <f>Historical!B60</f>
        <v>727</v>
      </c>
      <c r="C60" s="5">
        <f>Historical!C60</f>
        <v>299</v>
      </c>
      <c r="D60" s="5">
        <f>Historical!D60</f>
        <v>156</v>
      </c>
      <c r="E60" s="10">
        <f>E32-D32</f>
        <v>323.89999999999964</v>
      </c>
      <c r="F60" s="10">
        <f t="shared" ref="F60:G60" si="38">F32-E32</f>
        <v>204.0570000000007</v>
      </c>
      <c r="G60" s="10">
        <f t="shared" si="38"/>
        <v>210.17871000000014</v>
      </c>
    </row>
    <row r="61" spans="1:7" s="28" customFormat="1">
      <c r="A61" s="22" t="s">
        <v>53</v>
      </c>
      <c r="B61" s="49">
        <f>SUM(B52:B60)</f>
        <v>8621</v>
      </c>
      <c r="C61" s="49">
        <f>SUM(C52:C60)</f>
        <v>7367</v>
      </c>
      <c r="D61" s="49">
        <f>SUM(D52:D60)</f>
        <v>6562</v>
      </c>
      <c r="E61" s="50">
        <f>SUM(E52:E60)</f>
        <v>8612.152516694001</v>
      </c>
      <c r="F61" s="50">
        <f t="shared" ref="F61:G61" si="39">SUM(F52:F60)</f>
        <v>8166.6474376592396</v>
      </c>
      <c r="G61" s="50">
        <f t="shared" si="39"/>
        <v>8666.31996883383</v>
      </c>
    </row>
    <row r="62" spans="1:7">
      <c r="A62" s="2"/>
    </row>
    <row r="63" spans="1:7">
      <c r="A63" s="19" t="s">
        <v>54</v>
      </c>
    </row>
    <row r="64" spans="1:7">
      <c r="A64" s="3" t="s">
        <v>55</v>
      </c>
      <c r="B64" s="5">
        <f>Historical!B64</f>
        <v>-4806</v>
      </c>
      <c r="C64" s="5">
        <f>Historical!C64</f>
        <v>-2891</v>
      </c>
      <c r="D64" s="5">
        <f>Historical!D64</f>
        <v>-3727</v>
      </c>
      <c r="E64" s="6">
        <f>-E7*Schedules!E19</f>
        <v>-3913.35</v>
      </c>
      <c r="F64" s="6">
        <f>-F7*Schedules!F19</f>
        <v>-4030.7505000000001</v>
      </c>
      <c r="G64" s="6">
        <f>-G7*Schedules!G19</f>
        <v>-4151.6730150000003</v>
      </c>
    </row>
    <row r="65" spans="1:7">
      <c r="A65" s="3" t="s">
        <v>56</v>
      </c>
      <c r="B65" s="5">
        <f>Historical!B65</f>
        <v>46</v>
      </c>
      <c r="C65" s="5">
        <f>Historical!C65</f>
        <v>31</v>
      </c>
      <c r="D65" s="5">
        <f>Historical!D65</f>
        <v>78</v>
      </c>
      <c r="E65" s="5">
        <f>0</f>
        <v>0</v>
      </c>
      <c r="F65" s="5">
        <f>0</f>
        <v>0</v>
      </c>
      <c r="G65" s="5">
        <f>0</f>
        <v>0</v>
      </c>
    </row>
    <row r="66" spans="1:7" s="28" customFormat="1">
      <c r="A66" s="19" t="s">
        <v>57</v>
      </c>
      <c r="B66" s="49">
        <f>SUM(B64:B65)</f>
        <v>-4760</v>
      </c>
      <c r="C66" s="49">
        <f t="shared" ref="C66:D66" si="40">SUM(C64:C65)</f>
        <v>-2860</v>
      </c>
      <c r="D66" s="49">
        <f t="shared" si="40"/>
        <v>-3649</v>
      </c>
      <c r="E66" s="49">
        <f>SUM(E64:E65)</f>
        <v>-3913.35</v>
      </c>
      <c r="F66" s="49">
        <f t="shared" ref="F66:G66" si="41">SUM(F64:F65)</f>
        <v>-4030.7505000000001</v>
      </c>
      <c r="G66" s="49">
        <f t="shared" si="41"/>
        <v>-4151.6730150000003</v>
      </c>
    </row>
    <row r="67" spans="1:7">
      <c r="B67" s="6"/>
      <c r="C67" s="6"/>
      <c r="D67" s="6"/>
      <c r="E67" s="6"/>
      <c r="F67" s="6"/>
      <c r="G67" s="6"/>
    </row>
    <row r="68" spans="1:7">
      <c r="A68" s="19" t="s">
        <v>58</v>
      </c>
      <c r="B68" s="6"/>
      <c r="C68" s="6"/>
      <c r="D68" s="6"/>
      <c r="E68" s="6"/>
      <c r="F68" s="6"/>
      <c r="G68" s="6"/>
    </row>
    <row r="69" spans="1:7">
      <c r="A69" s="3" t="s">
        <v>59</v>
      </c>
      <c r="B69" s="5">
        <f>Historical!B69</f>
        <v>0</v>
      </c>
      <c r="C69" s="5">
        <f>Historical!C69</f>
        <v>741</v>
      </c>
      <c r="D69" s="5">
        <f>Historical!D69</f>
        <v>1984</v>
      </c>
      <c r="E69" s="6">
        <f>0</f>
        <v>0</v>
      </c>
      <c r="F69" s="6">
        <f>0</f>
        <v>0</v>
      </c>
      <c r="G69" s="6">
        <f>0</f>
        <v>0</v>
      </c>
    </row>
    <row r="70" spans="1:7">
      <c r="A70" s="3" t="s">
        <v>60</v>
      </c>
      <c r="B70" s="5">
        <f>Historical!B70</f>
        <v>-147</v>
      </c>
      <c r="C70" s="5">
        <f>Historical!C70</f>
        <v>-1139</v>
      </c>
      <c r="D70" s="5">
        <f>Historical!D70</f>
        <v>-1643</v>
      </c>
      <c r="E70" s="6">
        <f>0</f>
        <v>0</v>
      </c>
      <c r="F70" s="6">
        <f>0</f>
        <v>0</v>
      </c>
      <c r="G70" s="6">
        <f>0</f>
        <v>0</v>
      </c>
    </row>
    <row r="71" spans="1:7">
      <c r="A71" s="3" t="s">
        <v>61</v>
      </c>
      <c r="B71" s="5">
        <f>Historical!B71</f>
        <v>-2011</v>
      </c>
      <c r="C71" s="5">
        <f>Historical!C71</f>
        <v>-2046</v>
      </c>
      <c r="D71" s="5">
        <f>Historical!D71</f>
        <v>-2053</v>
      </c>
      <c r="E71" s="5">
        <f>D71</f>
        <v>-2053</v>
      </c>
      <c r="F71" s="5">
        <f t="shared" ref="F71:G71" si="42">E71</f>
        <v>-2053</v>
      </c>
      <c r="G71" s="5">
        <f t="shared" si="42"/>
        <v>-2053</v>
      </c>
    </row>
    <row r="72" spans="1:7">
      <c r="A72" s="3" t="s">
        <v>62</v>
      </c>
      <c r="B72" s="5">
        <f>Historical!B72</f>
        <v>0</v>
      </c>
      <c r="C72" s="5">
        <f>Historical!C72</f>
        <v>-1007</v>
      </c>
      <c r="D72" s="5">
        <f>Historical!D72</f>
        <v>-408</v>
      </c>
      <c r="E72" s="5">
        <f>0</f>
        <v>0</v>
      </c>
      <c r="F72" s="5">
        <f>0</f>
        <v>0</v>
      </c>
      <c r="G72" s="5">
        <f>0</f>
        <v>0</v>
      </c>
    </row>
    <row r="73" spans="1:7">
      <c r="A73" s="3" t="s">
        <v>63</v>
      </c>
      <c r="B73" s="5">
        <f>Historical!B73</f>
        <v>-127</v>
      </c>
      <c r="C73" s="5">
        <f>Historical!C73</f>
        <v>-99</v>
      </c>
      <c r="D73" s="5">
        <f>Historical!D73</f>
        <v>-67</v>
      </c>
      <c r="E73" s="5">
        <f>0</f>
        <v>0</v>
      </c>
      <c r="F73" s="5">
        <f>0</f>
        <v>0</v>
      </c>
      <c r="G73" s="5">
        <f>0</f>
        <v>0</v>
      </c>
    </row>
    <row r="74" spans="1:7" s="28" customFormat="1">
      <c r="A74" s="19" t="s">
        <v>64</v>
      </c>
      <c r="B74" s="49">
        <f>SUM(B69:B73)</f>
        <v>-2285</v>
      </c>
      <c r="C74" s="49">
        <f t="shared" ref="C74:D74" si="43">SUM(C69:C73)</f>
        <v>-3550</v>
      </c>
      <c r="D74" s="49">
        <f t="shared" si="43"/>
        <v>-2187</v>
      </c>
      <c r="E74" s="49">
        <f>SUM(E69:E73)</f>
        <v>-2053</v>
      </c>
      <c r="F74" s="49">
        <f t="shared" ref="F74:G74" si="44">SUM(F69:F73)</f>
        <v>-2053</v>
      </c>
      <c r="G74" s="49">
        <f t="shared" si="44"/>
        <v>-2053</v>
      </c>
    </row>
    <row r="75" spans="1:7">
      <c r="A75" s="2"/>
    </row>
    <row r="76" spans="1:7">
      <c r="A76" s="3" t="s">
        <v>65</v>
      </c>
      <c r="B76" s="10">
        <f>B61+B66+B74</f>
        <v>1576</v>
      </c>
      <c r="C76" s="10">
        <f>C61+C66+C74</f>
        <v>957</v>
      </c>
      <c r="D76" s="10">
        <f>D61+D66+D74</f>
        <v>726</v>
      </c>
      <c r="E76" s="10">
        <f>SUM(E61,E66,E74)</f>
        <v>2645.8025166940006</v>
      </c>
      <c r="F76" s="10">
        <f t="shared" ref="F76:G76" si="45">SUM(F61,F66,F74)</f>
        <v>2082.8969376592395</v>
      </c>
      <c r="G76" s="10">
        <f t="shared" si="45"/>
        <v>2461.6469538338297</v>
      </c>
    </row>
    <row r="77" spans="1:7">
      <c r="A77" s="3" t="s">
        <v>66</v>
      </c>
      <c r="B77" s="1">
        <f>Historical!B77</f>
        <v>2229</v>
      </c>
      <c r="C77" s="10">
        <f>B78</f>
        <v>3805</v>
      </c>
      <c r="D77" s="10">
        <f>C78</f>
        <v>4762</v>
      </c>
      <c r="E77" s="10">
        <f>D78</f>
        <v>5488</v>
      </c>
      <c r="F77" s="10">
        <f t="shared" ref="F77:G77" si="46">E78</f>
        <v>8133.8025166940006</v>
      </c>
      <c r="G77" s="10">
        <f t="shared" si="46"/>
        <v>10216.69945435324</v>
      </c>
    </row>
    <row r="78" spans="1:7" s="28" customFormat="1">
      <c r="A78" s="19" t="s">
        <v>67</v>
      </c>
      <c r="B78" s="50">
        <f>B76+B77</f>
        <v>3805</v>
      </c>
      <c r="C78" s="50">
        <f>C76+C77</f>
        <v>4762</v>
      </c>
      <c r="D78" s="50">
        <f>D76+D77</f>
        <v>5488</v>
      </c>
      <c r="E78" s="50">
        <f>E77+E76</f>
        <v>8133.8025166940006</v>
      </c>
      <c r="F78" s="50">
        <f t="shared" ref="F78:G78" si="47">F77+F76</f>
        <v>10216.69945435324</v>
      </c>
      <c r="G78" s="50">
        <f t="shared" si="47"/>
        <v>12678.34640818707</v>
      </c>
    </row>
    <row r="81" spans="4:5">
      <c r="D81" s="9"/>
      <c r="E81" s="9"/>
    </row>
  </sheetData>
  <pageMargins left="0.7" right="0.7" top="0.75" bottom="0.75" header="0.3" footer="0.3"/>
  <ignoredErrors>
    <ignoredError sqref="E3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0FBB-45A9-4AB5-A57C-685F964A66EF}">
  <dimension ref="A1:J20"/>
  <sheetViews>
    <sheetView zoomScale="85" zoomScaleNormal="85" workbookViewId="0">
      <selection activeCell="A2" sqref="A2"/>
    </sheetView>
  </sheetViews>
  <sheetFormatPr defaultRowHeight="15"/>
  <cols>
    <col min="1" max="1" width="37.42578125" bestFit="1" customWidth="1"/>
    <col min="2" max="4" width="9.7109375" bestFit="1" customWidth="1"/>
    <col min="5" max="7" width="11.28515625" bestFit="1" customWidth="1"/>
  </cols>
  <sheetData>
    <row r="1" spans="1:10" ht="20.25">
      <c r="A1" s="42" t="s">
        <v>69</v>
      </c>
      <c r="B1" s="43"/>
      <c r="C1" s="44"/>
      <c r="D1" s="44"/>
      <c r="E1" s="44"/>
      <c r="F1" s="44"/>
      <c r="G1" s="44"/>
      <c r="H1" s="44"/>
      <c r="I1" s="44"/>
      <c r="J1" s="45"/>
    </row>
    <row r="2" spans="1:10">
      <c r="A2" s="84" t="s">
        <v>70</v>
      </c>
      <c r="B2" s="29"/>
      <c r="C2" s="29"/>
      <c r="D2" s="29"/>
      <c r="E2" s="29"/>
      <c r="F2" s="29"/>
      <c r="G2" s="29"/>
      <c r="H2" s="29"/>
      <c r="I2" s="29"/>
      <c r="J2" s="17"/>
    </row>
    <row r="4" spans="1:10" s="34" customFormat="1" ht="15.75">
      <c r="A4" s="33" t="s">
        <v>2</v>
      </c>
      <c r="B4" s="80" t="str">
        <f>'Three Statements'!B4</f>
        <v>FY2023</v>
      </c>
      <c r="C4" s="80" t="str">
        <f>'Three Statements'!C4</f>
        <v>FY2024</v>
      </c>
      <c r="D4" s="80" t="str">
        <f>'Three Statements'!D4</f>
        <v>FY2025</v>
      </c>
      <c r="E4" s="81" t="str">
        <f>Assumptions!E4</f>
        <v>FY2026F</v>
      </c>
      <c r="F4" s="81" t="str">
        <f>Assumptions!F4</f>
        <v>FY2027F</v>
      </c>
      <c r="G4" s="81" t="str">
        <f>Assumptions!G4</f>
        <v>FY2028F</v>
      </c>
    </row>
    <row r="6" spans="1:10">
      <c r="A6" s="72" t="s">
        <v>7</v>
      </c>
      <c r="B6" s="73">
        <f>'Three Statements'!B7</f>
        <v>107412</v>
      </c>
      <c r="C6" s="73">
        <f>'Three Statements'!C7</f>
        <v>106566</v>
      </c>
      <c r="D6" s="73">
        <f>'Three Statements'!D7</f>
        <v>104780</v>
      </c>
      <c r="E6" s="74">
        <f>D6*(1+E7)</f>
        <v>110019</v>
      </c>
      <c r="F6" s="74">
        <f t="shared" ref="F6:G6" si="0">E6*(1+F7)</f>
        <v>113319.57</v>
      </c>
      <c r="G6" s="74">
        <f t="shared" si="0"/>
        <v>116719.15710000001</v>
      </c>
    </row>
    <row r="7" spans="1:10">
      <c r="A7" s="72" t="s">
        <v>71</v>
      </c>
      <c r="B7" s="11"/>
      <c r="C7" s="75">
        <f>C6/B6-1</f>
        <v>-7.876214948050464E-3</v>
      </c>
      <c r="D7" s="75">
        <f>D6/C6-1</f>
        <v>-1.6759566841206386E-2</v>
      </c>
      <c r="E7" s="75">
        <f>Assumptions!E6</f>
        <v>0.05</v>
      </c>
      <c r="F7" s="75">
        <f>Assumptions!F6</f>
        <v>0.03</v>
      </c>
      <c r="G7" s="75">
        <f>Assumptions!G6</f>
        <v>0.03</v>
      </c>
    </row>
    <row r="8" spans="1:10">
      <c r="A8" s="72" t="s">
        <v>72</v>
      </c>
      <c r="B8" s="75">
        <f>('Three Statements'!B7-'Three Statements'!B8)/'Three Statements'!B7</f>
        <v>0.2754254645663427</v>
      </c>
      <c r="C8" s="75">
        <f>('Three Statements'!C7-'Three Statements'!C8)/'Three Statements'!C7</f>
        <v>0.28211624720830286</v>
      </c>
      <c r="D8" s="75">
        <f>('Three Statements'!D7-'Three Statements'!D8)/'Three Statements'!D7</f>
        <v>0.2793376598587517</v>
      </c>
      <c r="E8" s="75">
        <f>Assumptions!E7</f>
        <v>0.29199999999999998</v>
      </c>
      <c r="F8" s="75">
        <f>Assumptions!F7</f>
        <v>0.28499999999999998</v>
      </c>
      <c r="G8" s="75">
        <f>Assumptions!G7</f>
        <v>0.28699999999999998</v>
      </c>
    </row>
    <row r="9" spans="1:10">
      <c r="A9" s="72" t="s">
        <v>73</v>
      </c>
      <c r="B9" s="75">
        <f>'Three Statements'!B9/'Three Statements'!B7</f>
        <v>0.19981007708635906</v>
      </c>
      <c r="C9" s="75">
        <f>'Three Statements'!C9/'Three Statements'!C7</f>
        <v>0.20615393277405553</v>
      </c>
      <c r="D9" s="75">
        <f>'Three Statements'!D9/'Three Statements'!D7</f>
        <v>0.20552586371444934</v>
      </c>
      <c r="E9" s="75">
        <f>Assumptions!E8</f>
        <v>0.20699999999999999</v>
      </c>
      <c r="F9" s="75">
        <f>Assumptions!F8</f>
        <v>0.20699999999999999</v>
      </c>
      <c r="G9" s="75">
        <f>Assumptions!G8</f>
        <v>0.20599999999999999</v>
      </c>
    </row>
    <row r="10" spans="1:10">
      <c r="A10" s="72" t="s">
        <v>74</v>
      </c>
      <c r="B10" s="75">
        <f>'Three Statements'!B11/'Three Statements'!B7</f>
        <v>5.3131866085725989E-2</v>
      </c>
      <c r="C10" s="75">
        <f>'Three Statements'!C11/'Three Statements'!C7</f>
        <v>5.2230542574554735E-2</v>
      </c>
      <c r="D10" s="75">
        <f>'Three Statements'!D11/'Three Statements'!D7</f>
        <v>4.8835655659476999E-2</v>
      </c>
      <c r="E10" s="75">
        <f>E8-E9-E12</f>
        <v>5.9999999999999991E-2</v>
      </c>
      <c r="F10" s="75">
        <f t="shared" ref="F10:G10" si="1">F8-F9-F12</f>
        <v>5.2999999999999985E-2</v>
      </c>
      <c r="G10" s="75">
        <f t="shared" si="1"/>
        <v>5.5999999999999987E-2</v>
      </c>
    </row>
    <row r="11" spans="1:10">
      <c r="A11" s="72" t="s">
        <v>75</v>
      </c>
      <c r="B11" s="75">
        <f>'Three Statements'!B15/'Three Statements'!B14</f>
        <v>0.21880309609212761</v>
      </c>
      <c r="C11" s="75">
        <f>'Three Statements'!C15/'Three Statements'!C14</f>
        <v>0.22239118038395742</v>
      </c>
      <c r="D11" s="75">
        <f>'Three Statements'!D15/'Three Statements'!D14</f>
        <v>0.22278162366268092</v>
      </c>
      <c r="E11" s="75">
        <f>Assumptions!E12</f>
        <v>0.23</v>
      </c>
      <c r="F11" s="75">
        <f>Assumptions!F12</f>
        <v>0.23</v>
      </c>
      <c r="G11" s="75">
        <f>Assumptions!G12</f>
        <v>0.23</v>
      </c>
    </row>
    <row r="12" spans="1:10">
      <c r="A12" s="76" t="s">
        <v>89</v>
      </c>
      <c r="B12" s="11">
        <f>'Three Statements'!B10/'Three Statements'!B7</f>
        <v>2.2483521394257626E-2</v>
      </c>
      <c r="C12" s="11">
        <f>'Three Statements'!C10/'Three Statements'!C7</f>
        <v>2.3731771859692583E-2</v>
      </c>
      <c r="D12" s="11">
        <f>'Three Statements'!D10/'Three Statements'!D7</f>
        <v>2.4976140484825347E-2</v>
      </c>
      <c r="E12" s="75">
        <f>Assumptions!E9</f>
        <v>2.5000000000000001E-2</v>
      </c>
      <c r="F12" s="75">
        <f>Assumptions!F9</f>
        <v>2.5000000000000001E-2</v>
      </c>
      <c r="G12" s="75">
        <f>Assumptions!G9</f>
        <v>2.5000000000000001E-2</v>
      </c>
    </row>
    <row r="13" spans="1:10">
      <c r="A13" s="77"/>
      <c r="B13" s="12"/>
      <c r="C13" s="12"/>
      <c r="D13" s="11"/>
      <c r="E13" s="11"/>
      <c r="F13" s="11"/>
      <c r="G13" s="11"/>
    </row>
    <row r="14" spans="1:10">
      <c r="A14" s="78" t="s">
        <v>76</v>
      </c>
      <c r="B14" s="79">
        <f>'Three Statements'!B22/'Three Statements'!B8</f>
        <v>0.15272138561957135</v>
      </c>
      <c r="C14" s="79">
        <f>'Three Statements'!C22/'Three Statements'!C8</f>
        <v>0.16653159394525632</v>
      </c>
      <c r="D14" s="79">
        <f>'Three Statements'!D22/'Three Statements'!D8</f>
        <v>0.16294314735601437</v>
      </c>
      <c r="E14" s="75">
        <f t="shared" ref="E14:E19" si="2">$D14</f>
        <v>0.16294314735601437</v>
      </c>
      <c r="F14" s="75">
        <f t="shared" ref="F14:G18" si="3">$D14</f>
        <v>0.16294314735601437</v>
      </c>
      <c r="G14" s="75">
        <f t="shared" si="3"/>
        <v>0.16294314735601437</v>
      </c>
    </row>
    <row r="15" spans="1:10">
      <c r="A15" s="78" t="s">
        <v>77</v>
      </c>
      <c r="B15" s="79">
        <f>'Three Statements'!B31/'Three Statements'!B8</f>
        <v>0.15544534100837745</v>
      </c>
      <c r="C15" s="79">
        <f>'Three Statements'!C31/'Three Statements'!C8</f>
        <v>0.17062299024862096</v>
      </c>
      <c r="D15" s="79">
        <f>'Three Statements'!D31/'Three Statements'!D8</f>
        <v>0.16715445431791395</v>
      </c>
      <c r="E15" s="75">
        <f t="shared" si="2"/>
        <v>0.16715445431791395</v>
      </c>
      <c r="F15" s="75">
        <f t="shared" si="3"/>
        <v>0.16715445431791395</v>
      </c>
      <c r="G15" s="75">
        <f t="shared" si="3"/>
        <v>0.16715445431791395</v>
      </c>
    </row>
    <row r="16" spans="1:10">
      <c r="A16" s="78" t="s">
        <v>78</v>
      </c>
      <c r="B16" s="79">
        <f>'Three Statements'!B23/'Three Statements'!B7</f>
        <v>1.6823073772018023E-2</v>
      </c>
      <c r="C16" s="79">
        <f>'Three Statements'!C23/'Three Statements'!C7</f>
        <v>1.8317286939549201E-2</v>
      </c>
      <c r="D16" s="79">
        <f>'Three Statements'!D23/'Three Statements'!D7</f>
        <v>2.112044283260164E-2</v>
      </c>
      <c r="E16" s="75">
        <f t="shared" si="2"/>
        <v>2.112044283260164E-2</v>
      </c>
      <c r="F16" s="75">
        <f t="shared" si="3"/>
        <v>2.112044283260164E-2</v>
      </c>
      <c r="G16" s="75">
        <f t="shared" si="3"/>
        <v>2.112044283260164E-2</v>
      </c>
    </row>
    <row r="17" spans="1:7">
      <c r="A17" s="78" t="s">
        <v>79</v>
      </c>
      <c r="B17" s="79">
        <f>'Three Statements'!B32/'Three Statements'!B7</f>
        <v>5.6697575689867052E-2</v>
      </c>
      <c r="C17" s="79">
        <f>'Three Statements'!C32/'Three Statements'!C7</f>
        <v>5.7335360246232384E-2</v>
      </c>
      <c r="D17" s="79">
        <f>'Three Statements'!D32/'Three Statements'!D7</f>
        <v>6.1824775720557355E-2</v>
      </c>
      <c r="E17" s="75">
        <f t="shared" si="2"/>
        <v>6.1824775720557355E-2</v>
      </c>
      <c r="F17" s="75">
        <f t="shared" si="3"/>
        <v>6.1824775720557355E-2</v>
      </c>
      <c r="G17" s="75">
        <f t="shared" si="3"/>
        <v>6.1824775720557355E-2</v>
      </c>
    </row>
    <row r="18" spans="1:7">
      <c r="A18" s="78" t="s">
        <v>80</v>
      </c>
      <c r="B18" s="79">
        <f>'Three Statements'!B53/'Three Statements'!B7</f>
        <v>2.6077160838640003E-2</v>
      </c>
      <c r="C18" s="79">
        <f>'Three Statements'!C53/'Three Statements'!C7</f>
        <v>2.7973274778071804E-2</v>
      </c>
      <c r="D18" s="79">
        <f>'Three Statements'!D53/'Three Statements'!D7</f>
        <v>2.991028822294331E-2</v>
      </c>
      <c r="E18" s="75">
        <f t="shared" si="2"/>
        <v>2.991028822294331E-2</v>
      </c>
      <c r="F18" s="75">
        <f t="shared" si="3"/>
        <v>2.991028822294331E-2</v>
      </c>
      <c r="G18" s="75">
        <f t="shared" si="3"/>
        <v>2.991028822294331E-2</v>
      </c>
    </row>
    <row r="19" spans="1:7">
      <c r="A19" s="78" t="s">
        <v>81</v>
      </c>
      <c r="B19" s="79">
        <f>-'Three Statements'!B64/'Three Statements'!B7</f>
        <v>4.4743604066584737E-2</v>
      </c>
      <c r="C19" s="79">
        <f>-'Three Statements'!C64/'Three Statements'!C7</f>
        <v>2.7128727736801608E-2</v>
      </c>
      <c r="D19" s="79">
        <f>-'Three Statements'!D64/'Three Statements'!D7</f>
        <v>3.5569765222370681E-2</v>
      </c>
      <c r="E19" s="75">
        <f t="shared" si="2"/>
        <v>3.5569765222370681E-2</v>
      </c>
      <c r="F19" s="75">
        <f t="shared" ref="F19:G19" si="4">$D19</f>
        <v>3.5569765222370681E-2</v>
      </c>
      <c r="G19" s="75">
        <f t="shared" si="4"/>
        <v>3.5569765222370681E-2</v>
      </c>
    </row>
    <row r="20" spans="1:7">
      <c r="A2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B4A9-4E30-4183-BC30-B0C7E841FB32}">
  <dimension ref="A1:L78"/>
  <sheetViews>
    <sheetView workbookViewId="0">
      <selection activeCell="G16" sqref="G16"/>
    </sheetView>
  </sheetViews>
  <sheetFormatPr defaultRowHeight="15"/>
  <cols>
    <col min="1" max="1" width="50.42578125" bestFit="1" customWidth="1"/>
    <col min="2" max="4" width="9" bestFit="1" customWidth="1"/>
  </cols>
  <sheetData>
    <row r="1" spans="1:12" ht="20.25">
      <c r="A1" s="42" t="s">
        <v>0</v>
      </c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8.75">
      <c r="A2" s="85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4"/>
    </row>
    <row r="4" spans="1:12">
      <c r="A4" s="86" t="s">
        <v>2</v>
      </c>
      <c r="B4" s="87" t="s">
        <v>3</v>
      </c>
      <c r="C4" s="87" t="s">
        <v>4</v>
      </c>
      <c r="D4" s="87" t="s">
        <v>5</v>
      </c>
    </row>
    <row r="5" spans="1:12">
      <c r="A5" s="4"/>
    </row>
    <row r="6" spans="1:12">
      <c r="A6" s="24" t="s">
        <v>6</v>
      </c>
      <c r="B6" s="29"/>
      <c r="C6" s="29"/>
      <c r="D6" s="29"/>
    </row>
    <row r="7" spans="1:12">
      <c r="A7" s="5" t="s">
        <v>7</v>
      </c>
      <c r="B7" s="6">
        <v>107412</v>
      </c>
      <c r="C7" s="6">
        <v>106566</v>
      </c>
      <c r="D7" s="6">
        <v>104780</v>
      </c>
    </row>
    <row r="8" spans="1:12">
      <c r="A8" s="5" t="s">
        <v>8</v>
      </c>
      <c r="B8" s="6">
        <v>77828</v>
      </c>
      <c r="C8" s="6">
        <v>76502</v>
      </c>
      <c r="D8" s="6">
        <v>75511</v>
      </c>
    </row>
    <row r="9" spans="1:12">
      <c r="A9" s="5" t="s">
        <v>9</v>
      </c>
      <c r="B9" s="6">
        <v>21462</v>
      </c>
      <c r="C9" s="6">
        <v>21969</v>
      </c>
      <c r="D9" s="6">
        <v>21535</v>
      </c>
    </row>
    <row r="10" spans="1:12">
      <c r="A10" s="5" t="s">
        <v>118</v>
      </c>
      <c r="B10" s="6">
        <v>2415</v>
      </c>
      <c r="C10" s="6">
        <v>2529</v>
      </c>
      <c r="D10" s="6">
        <v>2617</v>
      </c>
    </row>
    <row r="11" spans="1:12" s="28" customFormat="1">
      <c r="A11" s="49" t="s">
        <v>11</v>
      </c>
      <c r="B11" s="89">
        <v>5707</v>
      </c>
      <c r="C11" s="89">
        <v>5566</v>
      </c>
      <c r="D11" s="89">
        <v>5117</v>
      </c>
    </row>
    <row r="12" spans="1:12">
      <c r="A12" s="5" t="s">
        <v>12</v>
      </c>
      <c r="B12" s="6">
        <v>502</v>
      </c>
      <c r="C12" s="6">
        <v>411</v>
      </c>
      <c r="D12" s="6">
        <v>445</v>
      </c>
    </row>
    <row r="13" spans="1:12">
      <c r="A13" s="5" t="s">
        <v>13</v>
      </c>
      <c r="B13" s="6">
        <v>92</v>
      </c>
      <c r="C13" s="6">
        <v>106</v>
      </c>
      <c r="D13" s="6">
        <v>95</v>
      </c>
    </row>
    <row r="14" spans="1:12">
      <c r="A14" s="5" t="s">
        <v>14</v>
      </c>
      <c r="B14" s="6">
        <v>5297</v>
      </c>
      <c r="C14" s="6">
        <v>5261</v>
      </c>
      <c r="D14" s="6">
        <v>4767</v>
      </c>
    </row>
    <row r="15" spans="1:12">
      <c r="A15" s="5" t="s">
        <v>15</v>
      </c>
      <c r="B15" s="6">
        <v>1159</v>
      </c>
      <c r="C15" s="6">
        <v>1170</v>
      </c>
      <c r="D15" s="6">
        <v>1062</v>
      </c>
    </row>
    <row r="16" spans="1:12" s="28" customFormat="1">
      <c r="A16" s="49" t="s">
        <v>16</v>
      </c>
      <c r="B16" s="89">
        <v>4138</v>
      </c>
      <c r="C16" s="89">
        <v>4091</v>
      </c>
      <c r="D16" s="89">
        <v>3705</v>
      </c>
    </row>
    <row r="17" spans="1:4">
      <c r="A17" s="4"/>
      <c r="B17" s="6"/>
      <c r="C17" s="6"/>
      <c r="D17" s="6"/>
    </row>
    <row r="18" spans="1:4">
      <c r="A18" s="3"/>
      <c r="B18" s="6"/>
      <c r="C18" s="6"/>
      <c r="D18" s="6"/>
    </row>
    <row r="19" spans="1:4">
      <c r="A19" s="29" t="s">
        <v>17</v>
      </c>
      <c r="B19" s="30"/>
      <c r="C19" s="30"/>
      <c r="D19" s="30"/>
    </row>
    <row r="20" spans="1:4">
      <c r="A20" s="28" t="s">
        <v>18</v>
      </c>
      <c r="B20" s="6"/>
      <c r="C20" s="6"/>
      <c r="D20" s="6"/>
    </row>
    <row r="21" spans="1:4">
      <c r="A21" t="s">
        <v>19</v>
      </c>
      <c r="B21" s="6">
        <v>3805</v>
      </c>
      <c r="C21" s="6">
        <v>4762</v>
      </c>
      <c r="D21" s="6">
        <v>5488</v>
      </c>
    </row>
    <row r="22" spans="1:4">
      <c r="A22" t="s">
        <v>20</v>
      </c>
      <c r="B22" s="6">
        <v>11886</v>
      </c>
      <c r="C22" s="6">
        <v>12740</v>
      </c>
      <c r="D22" s="6">
        <v>12304</v>
      </c>
    </row>
    <row r="23" spans="1:4">
      <c r="A23" t="s">
        <v>21</v>
      </c>
      <c r="B23" s="6">
        <v>1807</v>
      </c>
      <c r="C23" s="6">
        <v>1952</v>
      </c>
      <c r="D23" s="6">
        <v>2213</v>
      </c>
    </row>
    <row r="24" spans="1:4" s="28" customFormat="1">
      <c r="A24" s="28" t="s">
        <v>22</v>
      </c>
      <c r="B24" s="89">
        <v>17498</v>
      </c>
      <c r="C24" s="89">
        <v>19454</v>
      </c>
      <c r="D24" s="89">
        <v>20005</v>
      </c>
    </row>
    <row r="25" spans="1:4">
      <c r="A25" t="s">
        <v>23</v>
      </c>
      <c r="B25" s="6">
        <v>33096</v>
      </c>
      <c r="C25" s="6">
        <v>33022</v>
      </c>
      <c r="D25" s="6">
        <v>33749</v>
      </c>
    </row>
    <row r="26" spans="1:4">
      <c r="A26" t="s">
        <v>24</v>
      </c>
      <c r="B26" s="6">
        <v>3362</v>
      </c>
      <c r="C26" s="6">
        <v>3763</v>
      </c>
      <c r="D26" s="6">
        <v>3703</v>
      </c>
    </row>
    <row r="27" spans="1:4">
      <c r="A27" t="s">
        <v>25</v>
      </c>
      <c r="B27" s="6">
        <v>1400</v>
      </c>
      <c r="C27" s="6">
        <v>1530</v>
      </c>
      <c r="D27" s="6">
        <v>2033</v>
      </c>
    </row>
    <row r="28" spans="1:4" s="28" customFormat="1">
      <c r="A28" s="28" t="s">
        <v>26</v>
      </c>
      <c r="B28" s="89">
        <v>55356</v>
      </c>
      <c r="C28" s="89">
        <v>57769</v>
      </c>
      <c r="D28" s="89">
        <v>59490</v>
      </c>
    </row>
    <row r="29" spans="1:4">
      <c r="B29" s="6"/>
      <c r="C29" s="6"/>
      <c r="D29" s="6"/>
    </row>
    <row r="30" spans="1:4">
      <c r="A30" s="37" t="s">
        <v>27</v>
      </c>
      <c r="B30" s="90"/>
      <c r="C30" s="90"/>
      <c r="D30" s="90"/>
    </row>
    <row r="31" spans="1:4">
      <c r="A31" t="s">
        <v>28</v>
      </c>
      <c r="B31" s="6">
        <v>12098</v>
      </c>
      <c r="C31" s="6">
        <v>13053</v>
      </c>
      <c r="D31" s="6">
        <v>12622</v>
      </c>
    </row>
    <row r="32" spans="1:4">
      <c r="A32" t="s">
        <v>29</v>
      </c>
      <c r="B32" s="6">
        <v>6090</v>
      </c>
      <c r="C32" s="6">
        <v>6110</v>
      </c>
      <c r="D32" s="6">
        <v>6478</v>
      </c>
    </row>
    <row r="33" spans="1:4">
      <c r="A33" t="s">
        <v>30</v>
      </c>
      <c r="B33" s="6">
        <v>1116</v>
      </c>
      <c r="C33" s="6">
        <v>1636</v>
      </c>
      <c r="D33" s="6">
        <v>2130</v>
      </c>
    </row>
    <row r="34" spans="1:4" s="28" customFormat="1">
      <c r="A34" s="28" t="s">
        <v>31</v>
      </c>
      <c r="B34" s="89">
        <v>19304</v>
      </c>
      <c r="C34" s="89">
        <v>20799</v>
      </c>
      <c r="D34" s="89">
        <v>21230</v>
      </c>
    </row>
    <row r="35" spans="1:4">
      <c r="A35" t="s">
        <v>32</v>
      </c>
      <c r="B35" s="6">
        <v>14922</v>
      </c>
      <c r="C35" s="6">
        <v>14304</v>
      </c>
      <c r="D35" s="6">
        <v>14326</v>
      </c>
    </row>
    <row r="36" spans="1:4">
      <c r="A36" t="s">
        <v>33</v>
      </c>
      <c r="B36" s="6">
        <v>3279</v>
      </c>
      <c r="C36" s="6">
        <v>3582</v>
      </c>
      <c r="D36" s="6">
        <v>3462</v>
      </c>
    </row>
    <row r="37" spans="1:4">
      <c r="A37" t="s">
        <v>34</v>
      </c>
      <c r="B37" s="6">
        <v>2480</v>
      </c>
      <c r="C37" s="6">
        <v>2303</v>
      </c>
      <c r="D37" s="6">
        <v>2265</v>
      </c>
    </row>
    <row r="38" spans="1:4">
      <c r="A38" t="s">
        <v>35</v>
      </c>
      <c r="B38" s="6">
        <v>1939</v>
      </c>
      <c r="C38" s="6">
        <v>2115</v>
      </c>
      <c r="D38" s="6">
        <v>2042</v>
      </c>
    </row>
    <row r="39" spans="1:4" s="28" customFormat="1">
      <c r="A39" s="28" t="s">
        <v>36</v>
      </c>
      <c r="B39" s="89">
        <v>22620</v>
      </c>
      <c r="C39" s="89">
        <v>22304</v>
      </c>
      <c r="D39" s="89">
        <v>22095</v>
      </c>
    </row>
    <row r="40" spans="1:4">
      <c r="B40" s="6"/>
      <c r="C40" s="6"/>
      <c r="D40" s="6"/>
    </row>
    <row r="41" spans="1:4">
      <c r="A41" s="28" t="s">
        <v>37</v>
      </c>
      <c r="B41" s="89"/>
      <c r="C41" s="89"/>
      <c r="D41" s="89"/>
    </row>
    <row r="42" spans="1:4">
      <c r="A42" t="s">
        <v>38</v>
      </c>
      <c r="B42" s="6">
        <v>38</v>
      </c>
      <c r="C42" s="6">
        <v>38</v>
      </c>
      <c r="D42" s="6">
        <v>38</v>
      </c>
    </row>
    <row r="43" spans="1:4">
      <c r="A43" t="s">
        <v>39</v>
      </c>
      <c r="B43" s="6">
        <v>6761</v>
      </c>
      <c r="C43" s="6">
        <v>6996</v>
      </c>
      <c r="D43" s="6">
        <v>7247</v>
      </c>
    </row>
    <row r="44" spans="1:4">
      <c r="A44" t="s">
        <v>40</v>
      </c>
      <c r="B44" s="6">
        <v>7093</v>
      </c>
      <c r="C44" s="6">
        <v>8090</v>
      </c>
      <c r="D44" s="6">
        <v>9297</v>
      </c>
    </row>
    <row r="45" spans="1:4">
      <c r="A45" t="s">
        <v>41</v>
      </c>
      <c r="B45" s="6">
        <v>-460</v>
      </c>
      <c r="C45" s="6">
        <v>-458</v>
      </c>
      <c r="D45" s="6">
        <v>-417</v>
      </c>
    </row>
    <row r="46" spans="1:4" s="28" customFormat="1">
      <c r="A46" s="28" t="s">
        <v>42</v>
      </c>
      <c r="B46" s="89">
        <v>13432</v>
      </c>
      <c r="C46" s="89">
        <v>14666</v>
      </c>
      <c r="D46" s="89">
        <v>16165</v>
      </c>
    </row>
    <row r="47" spans="1:4" s="28" customFormat="1">
      <c r="A47" s="28" t="s">
        <v>43</v>
      </c>
      <c r="B47" s="89"/>
      <c r="C47" s="89"/>
      <c r="D47" s="89"/>
    </row>
    <row r="48" spans="1:4">
      <c r="B48" s="6"/>
      <c r="C48" s="6"/>
      <c r="D48" s="6"/>
    </row>
    <row r="49" spans="1:6">
      <c r="B49" s="6"/>
      <c r="C49" s="6"/>
      <c r="D49" s="6"/>
    </row>
    <row r="50" spans="1:6">
      <c r="A50" s="41" t="s">
        <v>44</v>
      </c>
      <c r="B50" s="91"/>
      <c r="C50" s="88"/>
      <c r="D50" s="88"/>
    </row>
    <row r="51" spans="1:6">
      <c r="A51" s="22" t="s">
        <v>45</v>
      </c>
      <c r="B51" s="6"/>
      <c r="C51" s="6"/>
      <c r="D51" s="6"/>
    </row>
    <row r="52" spans="1:6">
      <c r="A52" s="4" t="s">
        <v>16</v>
      </c>
      <c r="B52" s="6">
        <v>4138</v>
      </c>
      <c r="C52" s="6">
        <v>4091</v>
      </c>
      <c r="D52" s="6">
        <v>3705</v>
      </c>
    </row>
    <row r="53" spans="1:6">
      <c r="A53" s="4" t="s">
        <v>46</v>
      </c>
      <c r="B53" s="6">
        <v>2801</v>
      </c>
      <c r="C53" s="6">
        <v>2981</v>
      </c>
      <c r="D53" s="6">
        <v>3134</v>
      </c>
    </row>
    <row r="54" spans="1:6">
      <c r="A54" s="4" t="s">
        <v>47</v>
      </c>
      <c r="B54" s="6">
        <v>251</v>
      </c>
      <c r="C54" s="6">
        <v>304</v>
      </c>
      <c r="D54" s="6">
        <v>281</v>
      </c>
    </row>
    <row r="55" spans="1:6">
      <c r="A55" s="4" t="s">
        <v>34</v>
      </c>
      <c r="B55" s="6">
        <v>298</v>
      </c>
      <c r="C55" s="6">
        <v>-180</v>
      </c>
      <c r="D55" s="6">
        <v>-55</v>
      </c>
    </row>
    <row r="56" spans="1:6">
      <c r="A56" s="4" t="s">
        <v>48</v>
      </c>
      <c r="B56" s="6">
        <v>94</v>
      </c>
      <c r="C56" s="6">
        <v>26</v>
      </c>
      <c r="D56" s="6">
        <v>-100</v>
      </c>
    </row>
    <row r="57" spans="1:6">
      <c r="A57" s="4" t="s">
        <v>49</v>
      </c>
      <c r="B57" s="6">
        <v>1613</v>
      </c>
      <c r="C57" s="6">
        <v>-854</v>
      </c>
      <c r="D57" s="6">
        <v>436</v>
      </c>
    </row>
    <row r="58" spans="1:6">
      <c r="A58" s="4" t="s">
        <v>50</v>
      </c>
      <c r="B58" s="6">
        <v>-85</v>
      </c>
      <c r="C58" s="6">
        <v>-308</v>
      </c>
      <c r="D58" s="6">
        <v>-494</v>
      </c>
    </row>
    <row r="59" spans="1:6">
      <c r="A59" s="4" t="s">
        <v>51</v>
      </c>
      <c r="B59" s="6">
        <v>-1216</v>
      </c>
      <c r="C59" s="6">
        <v>1008</v>
      </c>
      <c r="D59" s="6">
        <v>-501</v>
      </c>
      <c r="F59" s="1"/>
    </row>
    <row r="60" spans="1:6">
      <c r="A60" s="4" t="s">
        <v>52</v>
      </c>
      <c r="B60" s="6">
        <v>727</v>
      </c>
      <c r="C60" s="6">
        <v>299</v>
      </c>
      <c r="D60" s="6">
        <v>156</v>
      </c>
    </row>
    <row r="61" spans="1:6" s="28" customFormat="1">
      <c r="A61" s="22" t="s">
        <v>53</v>
      </c>
      <c r="B61" s="89">
        <f>SUM(B52:B60)</f>
        <v>8621</v>
      </c>
      <c r="C61" s="89">
        <f t="shared" ref="C61" si="0">SUM(C52:C60)</f>
        <v>7367</v>
      </c>
      <c r="D61" s="89">
        <f>SUM(D52:D60)</f>
        <v>6562</v>
      </c>
    </row>
    <row r="62" spans="1:6">
      <c r="A62" s="2"/>
      <c r="B62" s="7"/>
      <c r="C62" s="6"/>
      <c r="D62" s="6"/>
    </row>
    <row r="63" spans="1:6">
      <c r="A63" s="19" t="s">
        <v>54</v>
      </c>
      <c r="B63" s="6"/>
      <c r="C63" s="6"/>
      <c r="D63" s="6"/>
    </row>
    <row r="64" spans="1:6">
      <c r="A64" s="3" t="s">
        <v>55</v>
      </c>
      <c r="B64" s="6">
        <v>-4806</v>
      </c>
      <c r="C64" s="6">
        <v>-2891</v>
      </c>
      <c r="D64" s="6">
        <v>-3727</v>
      </c>
    </row>
    <row r="65" spans="1:4">
      <c r="A65" s="3" t="s">
        <v>56</v>
      </c>
      <c r="B65" s="6">
        <v>46</v>
      </c>
      <c r="C65" s="6">
        <v>31</v>
      </c>
      <c r="D65" s="6">
        <v>78</v>
      </c>
    </row>
    <row r="66" spans="1:4" s="28" customFormat="1">
      <c r="A66" s="19" t="s">
        <v>57</v>
      </c>
      <c r="B66" s="89">
        <v>-4760</v>
      </c>
      <c r="C66" s="89">
        <v>-2860</v>
      </c>
      <c r="D66" s="89">
        <v>-3649</v>
      </c>
    </row>
    <row r="67" spans="1:4">
      <c r="B67" s="6"/>
      <c r="C67" s="6"/>
      <c r="D67" s="6"/>
    </row>
    <row r="68" spans="1:4">
      <c r="A68" s="19" t="s">
        <v>58</v>
      </c>
      <c r="B68" s="8"/>
      <c r="C68" s="6"/>
      <c r="D68" s="6"/>
    </row>
    <row r="69" spans="1:4">
      <c r="A69" s="3" t="s">
        <v>59</v>
      </c>
      <c r="B69" s="6">
        <v>0</v>
      </c>
      <c r="C69" s="6">
        <v>741</v>
      </c>
      <c r="D69" s="6">
        <v>1984</v>
      </c>
    </row>
    <row r="70" spans="1:4">
      <c r="A70" s="3" t="s">
        <v>60</v>
      </c>
      <c r="B70" s="6">
        <v>-147</v>
      </c>
      <c r="C70" s="6">
        <v>-1139</v>
      </c>
      <c r="D70" s="6">
        <v>-1643</v>
      </c>
    </row>
    <row r="71" spans="1:4">
      <c r="A71" s="3" t="s">
        <v>61</v>
      </c>
      <c r="B71" s="6">
        <v>-2011</v>
      </c>
      <c r="C71" s="6">
        <v>-2046</v>
      </c>
      <c r="D71" s="6">
        <v>-2053</v>
      </c>
    </row>
    <row r="72" spans="1:4">
      <c r="A72" s="3" t="s">
        <v>62</v>
      </c>
      <c r="B72" s="6">
        <v>0</v>
      </c>
      <c r="C72" s="6">
        <v>-1007</v>
      </c>
      <c r="D72" s="6">
        <v>-408</v>
      </c>
    </row>
    <row r="73" spans="1:4">
      <c r="A73" s="3" t="s">
        <v>63</v>
      </c>
      <c r="B73" s="6">
        <v>-127</v>
      </c>
      <c r="C73" s="6">
        <v>-99</v>
      </c>
      <c r="D73" s="6">
        <v>-67</v>
      </c>
    </row>
    <row r="74" spans="1:4" s="28" customFormat="1">
      <c r="A74" s="19" t="s">
        <v>64</v>
      </c>
      <c r="B74" s="89">
        <v>-2285</v>
      </c>
      <c r="C74" s="89">
        <v>-3550</v>
      </c>
      <c r="D74" s="89">
        <v>-2187</v>
      </c>
    </row>
    <row r="75" spans="1:4">
      <c r="A75" s="2"/>
      <c r="B75" s="7"/>
      <c r="C75" s="6"/>
      <c r="D75" s="6"/>
    </row>
    <row r="76" spans="1:4">
      <c r="A76" s="3" t="s">
        <v>65</v>
      </c>
      <c r="B76" s="6">
        <v>1576</v>
      </c>
      <c r="C76" s="6">
        <v>957</v>
      </c>
      <c r="D76" s="6">
        <v>726</v>
      </c>
    </row>
    <row r="77" spans="1:4">
      <c r="A77" s="3" t="s">
        <v>66</v>
      </c>
      <c r="B77" s="6">
        <v>2229</v>
      </c>
      <c r="C77" s="6">
        <v>3805</v>
      </c>
      <c r="D77" s="6">
        <v>4762</v>
      </c>
    </row>
    <row r="78" spans="1:4" s="28" customFormat="1">
      <c r="A78" s="19" t="s">
        <v>67</v>
      </c>
      <c r="B78" s="89">
        <v>3805</v>
      </c>
      <c r="C78" s="89">
        <v>4762</v>
      </c>
      <c r="D78" s="89">
        <v>5488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A23D-1C6F-436C-AD87-5491A8CE69B9}">
  <dimension ref="A4:K12"/>
  <sheetViews>
    <sheetView workbookViewId="0">
      <selection activeCell="A6" sqref="A6:A8"/>
    </sheetView>
  </sheetViews>
  <sheetFormatPr defaultRowHeight="15"/>
  <cols>
    <col min="1" max="1" width="27.42578125" bestFit="1" customWidth="1"/>
    <col min="2" max="4" width="7.42578125" bestFit="1" customWidth="1"/>
    <col min="5" max="7" width="8.5703125" bestFit="1" customWidth="1"/>
  </cols>
  <sheetData>
    <row r="4" spans="1:11">
      <c r="A4" s="92" t="s">
        <v>120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>
      <c r="B5" s="71" t="str">
        <f>'Three Statements'!B4</f>
        <v>FY2023</v>
      </c>
      <c r="C5" s="71" t="str">
        <f>'Three Statements'!C4</f>
        <v>FY2024</v>
      </c>
      <c r="D5" s="71" t="str">
        <f>'Three Statements'!D4</f>
        <v>FY2025</v>
      </c>
      <c r="E5" s="26" t="str">
        <f>'Three Statements'!E4</f>
        <v>FY2026F</v>
      </c>
      <c r="F5" s="26" t="str">
        <f>'Three Statements'!F4</f>
        <v>FY2027F</v>
      </c>
      <c r="G5" s="26" t="str">
        <f>'Three Statements'!G4</f>
        <v>FY2028F</v>
      </c>
    </row>
    <row r="6" spans="1:11">
      <c r="A6" s="4" t="s">
        <v>92</v>
      </c>
      <c r="B6" s="93">
        <f>'Three Statements'!B28-'Three Statements'!B47</f>
        <v>0</v>
      </c>
      <c r="C6" s="93">
        <f>'Three Statements'!C28-'Three Statements'!C47</f>
        <v>0</v>
      </c>
      <c r="D6" s="93">
        <f>'Three Statements'!D28-'Three Statements'!D47</f>
        <v>0</v>
      </c>
      <c r="E6" s="93">
        <f>'Three Statements'!E28-'Three Statements'!E47</f>
        <v>0</v>
      </c>
      <c r="F6" s="93">
        <f>'Three Statements'!F28-'Three Statements'!F47</f>
        <v>0</v>
      </c>
      <c r="G6" s="93">
        <f>'Three Statements'!G28-'Three Statements'!G47</f>
        <v>0</v>
      </c>
    </row>
    <row r="7" spans="1:11">
      <c r="A7" s="4" t="s">
        <v>93</v>
      </c>
      <c r="B7" s="93">
        <f>'Three Statements'!B21-'Three Statements'!B78</f>
        <v>0</v>
      </c>
      <c r="C7" s="93">
        <f>'Three Statements'!C21-'Three Statements'!C78</f>
        <v>0</v>
      </c>
      <c r="D7" s="93">
        <f>'Three Statements'!D21-'Three Statements'!D78</f>
        <v>0</v>
      </c>
      <c r="E7" s="93">
        <f>'Three Statements'!E21-'Three Statements'!E78</f>
        <v>0</v>
      </c>
      <c r="F7" s="93">
        <f>'Three Statements'!F21-'Three Statements'!F78</f>
        <v>0</v>
      </c>
      <c r="G7" s="93">
        <f>'Three Statements'!G21-'Three Statements'!G78</f>
        <v>0</v>
      </c>
    </row>
    <row r="8" spans="1:11">
      <c r="A8" s="4" t="s">
        <v>94</v>
      </c>
      <c r="B8" s="93">
        <f>'Three Statements'!B77+'Three Statements'!B76-'Three Statements'!B78</f>
        <v>0</v>
      </c>
      <c r="C8" s="93">
        <f>'Three Statements'!C77+'Three Statements'!C76-'Three Statements'!C78</f>
        <v>0</v>
      </c>
      <c r="D8" s="93">
        <f>'Three Statements'!D77+'Three Statements'!D76-'Three Statements'!D78</f>
        <v>0</v>
      </c>
      <c r="E8" s="93">
        <f>'Three Statements'!E77+'Three Statements'!E76-'Three Statements'!E78</f>
        <v>0</v>
      </c>
      <c r="F8" s="93">
        <f>'Three Statements'!F77+'Three Statements'!F76-'Three Statements'!F78</f>
        <v>0</v>
      </c>
      <c r="G8" s="93">
        <f>'Three Statements'!G77+'Three Statements'!G76-'Three Statements'!G78</f>
        <v>0</v>
      </c>
    </row>
    <row r="12" spans="1:11">
      <c r="A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Assumptions</vt:lpstr>
      <vt:lpstr>Three Statements</vt:lpstr>
      <vt:lpstr>Schedules</vt:lpstr>
      <vt:lpstr>Historical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yadav</dc:creator>
  <cp:lastModifiedBy>swapnil yadav</cp:lastModifiedBy>
  <dcterms:created xsi:type="dcterms:W3CDTF">2026-09-28T04:17:19Z</dcterms:created>
  <dcterms:modified xsi:type="dcterms:W3CDTF">2026-09-28T11:25:27Z</dcterms:modified>
</cp:coreProperties>
</file>